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988\OneDrive\Desktop\Projects\excel\india_cpi_inflation\cleaned_data\"/>
    </mc:Choice>
  </mc:AlternateContent>
  <xr:revisionPtr revIDLastSave="0" documentId="13_ncr:1_{DB91F086-FB15-4AF4-9ABC-BB8ECEED25D8}" xr6:coauthVersionLast="47" xr6:coauthVersionMax="47" xr10:uidLastSave="{00000000-0000-0000-0000-000000000000}"/>
  <bookViews>
    <workbookView xWindow="-108" yWindow="-108" windowWidth="23256" windowHeight="12456" tabRatio="509" firstSheet="3" activeTab="5" xr2:uid="{C99B554E-B33C-4F07-9125-075581AE8C2A}"/>
  </bookViews>
  <sheets>
    <sheet name="DataSet" sheetId="4" r:id="rId1"/>
    <sheet name="PROBLEM STATEMENT 1" sheetId="1" r:id="rId2"/>
    <sheet name="PROBLEM STATEMENT 2" sheetId="2" r:id="rId3"/>
    <sheet name="PROBLEM STATEMENT 3" sheetId="7" r:id="rId4"/>
    <sheet name="PROBLEM STATEMENT 4" sheetId="8" r:id="rId5"/>
    <sheet name="PROBLEM STATEMENT 5" sheetId="9" r:id="rId6"/>
    <sheet name="RECOMMENDATIONS" sheetId="12" r:id="rId7"/>
  </sheets>
  <definedNames>
    <definedName name="ExternalData_1" localSheetId="0" hidden="1">DataSet!$A$1:$AE$373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1" i="7" l="1"/>
  <c r="C72" i="7" s="1"/>
  <c r="B72" i="7"/>
  <c r="B73" i="7"/>
  <c r="C74" i="7" s="1"/>
  <c r="B74" i="7"/>
  <c r="C75" i="7" s="1"/>
  <c r="B75" i="7"/>
  <c r="B76" i="7"/>
  <c r="C77" i="7" s="1"/>
  <c r="B77" i="7"/>
  <c r="D77" i="7" s="1"/>
  <c r="B78" i="7"/>
  <c r="B70" i="7"/>
  <c r="B69" i="7"/>
  <c r="B68" i="7"/>
  <c r="C69" i="7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2" i="4"/>
  <c r="C32" i="9"/>
  <c r="D32" i="9"/>
  <c r="E32" i="9"/>
  <c r="F32" i="9"/>
  <c r="B32" i="9"/>
  <c r="B36" i="9"/>
  <c r="B37" i="9"/>
  <c r="B38" i="9"/>
  <c r="B39" i="9"/>
  <c r="C34" i="8"/>
  <c r="D34" i="8"/>
  <c r="B34" i="8"/>
  <c r="C14" i="8"/>
  <c r="D14" i="8"/>
  <c r="B14" i="8"/>
  <c r="B32" i="1"/>
  <c r="D75" i="7" l="1"/>
  <c r="D72" i="7"/>
  <c r="C78" i="7"/>
  <c r="D78" i="7" s="1"/>
  <c r="C76" i="7"/>
  <c r="C73" i="7"/>
  <c r="D73" i="7" s="1"/>
  <c r="D69" i="7"/>
  <c r="C71" i="7"/>
  <c r="D71" i="7" s="1"/>
  <c r="C70" i="7"/>
  <c r="D70" i="7" s="1"/>
  <c r="D76" i="7"/>
  <c r="D7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5FDD24-1CDB-4807-9D7A-7FE5CC323BF2}" keepAlive="1" name="Query - All_India_Index_Upto_April23 (1) (1)" description="Connection to the 'All_India_Index_Upto_April23 (1) (1)' query in the workbook." type="5" refreshedVersion="8" background="1" saveData="1">
    <dbPr connection="Provider=Microsoft.Mashup.OleDb.1;Data Source=$Workbook$;Location=&quot;All_India_Index_Upto_April23 (1) (1)&quot;;Extended Properties=&quot;&quot;" command="SELECT * FROM [All_India_Index_Upto_April23 (1) (1)]"/>
  </connection>
  <connection id="2" xr16:uid="{ADB0F547-50F5-4CA8-A6DE-6AAC1336569A}" keepAlive="1" name="Query - All_India_Index_Upto_April23 (1) (2)" description="Connection to the 'All_India_Index_Upto_April23 (1) (2)' query in the workbook." type="5" refreshedVersion="8" background="1" saveData="1">
    <dbPr connection="Provider=Microsoft.Mashup.OleDb.1;Data Source=$Workbook$;Location=&quot;All_India_Index_Upto_April23 (1) (2)&quot;;Extended Properties=&quot;&quot;" command="SELECT * FROM [All_India_Index_Upto_April23 (1) (2)]"/>
  </connection>
</connections>
</file>

<file path=xl/sharedStrings.xml><?xml version="1.0" encoding="utf-8"?>
<sst xmlns="http://schemas.openxmlformats.org/spreadsheetml/2006/main" count="1122" uniqueCount="208">
  <si>
    <t>Broader Category</t>
  </si>
  <si>
    <t>Food &amp; Beverages</t>
  </si>
  <si>
    <t>Cereals and products, Meat and fish, Egg, Milk and products, Oils and fats, Fruits, Vegetables, Pulses and products, Sugar and confectionery, Spices, Non-alcoholic beverages, Prepared meals, snacks, sweets etc.</t>
  </si>
  <si>
    <t>Intoxicants</t>
  </si>
  <si>
    <t>Pan, tobacco and intoxicants</t>
  </si>
  <si>
    <t>Fashion</t>
  </si>
  <si>
    <t>Clothing,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</si>
  <si>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</si>
  <si>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</si>
  <si>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</si>
  <si>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</si>
  <si>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</si>
  <si>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</si>
  <si>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</si>
  <si>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</t>
  </si>
  <si>
    <t>Personal care and effects</t>
  </si>
  <si>
    <t>Miscellaneous</t>
  </si>
  <si>
    <t>Sub-Category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</si>
  <si>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</si>
  <si>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</si>
  <si>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</si>
  <si>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</si>
  <si>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</si>
  <si>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</si>
  <si>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</si>
  <si>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</si>
  <si>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Spices</t>
  </si>
  <si>
    <t>Non-alcoholic beverages</t>
  </si>
  <si>
    <t>Prepared meals, snacks, sweets etc.</t>
  </si>
  <si>
    <t>Clothing</t>
  </si>
  <si>
    <t>Footwear</t>
  </si>
  <si>
    <t>Average Index</t>
  </si>
  <si>
    <t>• Calculating Contribution(%) to CPI :</t>
  </si>
  <si>
    <t>Contribution (%)</t>
  </si>
  <si>
    <t>Year</t>
  </si>
  <si>
    <t>Average CPI</t>
  </si>
  <si>
    <t>Y-o-Y Growth (%)</t>
  </si>
  <si>
    <t>Sector</t>
  </si>
  <si>
    <t>Month</t>
  </si>
  <si>
    <t>Sugar and Confectionery</t>
  </si>
  <si>
    <t>Food and beverages</t>
  </si>
  <si>
    <t>Clothing and footwear</t>
  </si>
  <si>
    <t>Household goods and services</t>
  </si>
  <si>
    <t>Transport and communication</t>
  </si>
  <si>
    <t>Recreation and amusement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</si>
  <si>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</si>
  <si>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</si>
  <si>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</si>
  <si>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</si>
  <si>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</si>
  <si>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</si>
  <si>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</si>
  <si>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</si>
  <si>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</si>
  <si>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</si>
  <si>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</si>
  <si>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</si>
  <si>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</si>
  <si>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</si>
  <si>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</si>
  <si>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</si>
  <si>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</si>
  <si>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Year-Month</t>
  </si>
  <si>
    <t>2019-March</t>
  </si>
  <si>
    <t>2019-May</t>
  </si>
  <si>
    <t>2019-June</t>
  </si>
  <si>
    <t>2019-July</t>
  </si>
  <si>
    <t>2019-August</t>
  </si>
  <si>
    <t>2019-September</t>
  </si>
  <si>
    <t>2019-October</t>
  </si>
  <si>
    <t>2019-November</t>
  </si>
  <si>
    <t>2019-December</t>
  </si>
  <si>
    <t>2020-January</t>
  </si>
  <si>
    <t>2020-February</t>
  </si>
  <si>
    <t>2020-March</t>
  </si>
  <si>
    <t>2020-April</t>
  </si>
  <si>
    <t>2020-May</t>
  </si>
  <si>
    <t>2020-June</t>
  </si>
  <si>
    <t>2020-July</t>
  </si>
  <si>
    <t>2020-August</t>
  </si>
  <si>
    <t>2020-September</t>
  </si>
  <si>
    <t>2020-October</t>
  </si>
  <si>
    <t>2020-November</t>
  </si>
  <si>
    <t>2020-December</t>
  </si>
  <si>
    <t>2021-January</t>
  </si>
  <si>
    <t>2021-February</t>
  </si>
  <si>
    <t>2021-March</t>
  </si>
  <si>
    <t>2021-April</t>
  </si>
  <si>
    <t>2021-May</t>
  </si>
  <si>
    <t>2021-June</t>
  </si>
  <si>
    <t>2021-July</t>
  </si>
  <si>
    <t>2021-August</t>
  </si>
  <si>
    <t>2021-September</t>
  </si>
  <si>
    <t>2021-October</t>
  </si>
  <si>
    <t>2021-November</t>
  </si>
  <si>
    <t>2021-December</t>
  </si>
  <si>
    <t>2022-January</t>
  </si>
  <si>
    <t>2022-February</t>
  </si>
  <si>
    <t>2022-March</t>
  </si>
  <si>
    <t>2022-April</t>
  </si>
  <si>
    <t>2022-May</t>
  </si>
  <si>
    <t>2022-June</t>
  </si>
  <si>
    <t>2022-July</t>
  </si>
  <si>
    <t>2022-August</t>
  </si>
  <si>
    <t>2022-September</t>
  </si>
  <si>
    <t>2022-October</t>
  </si>
  <si>
    <t>2022-November</t>
  </si>
  <si>
    <t>2022-December</t>
  </si>
  <si>
    <t>2023-January</t>
  </si>
  <si>
    <t>2023-February</t>
  </si>
  <si>
    <t>2023-March</t>
  </si>
  <si>
    <t>2023-April</t>
  </si>
  <si>
    <t>2023-May</t>
  </si>
  <si>
    <t xml:space="preserve">• Absolute M-o-M Changes in Food Inflation : </t>
  </si>
  <si>
    <t>–</t>
  </si>
  <si>
    <t>Grand Total (June 2022 – May 2023)</t>
  </si>
  <si>
    <t>Prepared meals, snacks, sweets</t>
  </si>
  <si>
    <t>• Pre-Covid Vs Post-Covid:</t>
  </si>
  <si>
    <t>Category</t>
  </si>
  <si>
    <t>Pre-Covid Increase (%)</t>
  </si>
  <si>
    <t>Post-Covid Increase (%)</t>
  </si>
  <si>
    <t>General Index</t>
  </si>
  <si>
    <t>Categories</t>
  </si>
  <si>
    <t>Imported Crude Oil</t>
  </si>
  <si>
    <r>
      <t xml:space="preserve">The </t>
    </r>
    <r>
      <rPr>
        <b/>
        <sz val="11"/>
        <color theme="1"/>
        <rFont val="Aptos Narrow"/>
        <family val="2"/>
      </rPr>
      <t xml:space="preserve">total sum of all average indices </t>
    </r>
    <r>
      <rPr>
        <sz val="11"/>
        <color theme="1"/>
        <rFont val="Aptos Narrow"/>
        <family val="2"/>
      </rPr>
      <t>=</t>
    </r>
  </si>
  <si>
    <r>
      <t xml:space="preserve">Now, the </t>
    </r>
    <r>
      <rPr>
        <b/>
        <sz val="11"/>
        <color theme="1"/>
        <rFont val="Aptos Narrow"/>
        <family val="2"/>
      </rPr>
      <t xml:space="preserve">contribution (%) </t>
    </r>
    <r>
      <rPr>
        <sz val="11"/>
        <color theme="1"/>
        <rFont val="Aptos Narrow"/>
        <family val="2"/>
      </rPr>
      <t xml:space="preserve">of each category is : </t>
    </r>
  </si>
  <si>
    <t>1. Healthcare and lifestyle expenses remain major contributors</t>
  </si>
  <si>
    <t>2. Transportation and entertainment contribute comparatively less</t>
  </si>
  <si>
    <t>3. Essential household categories show balanced contribution</t>
  </si>
  <si>
    <t>4. Pan, tobacco, and intoxicants have the highest influence</t>
  </si>
  <si>
    <r>
      <t xml:space="preserve">Categories related to </t>
    </r>
    <r>
      <rPr>
        <b/>
        <sz val="11"/>
        <color theme="1"/>
        <rFont val="Aptos Narrow"/>
        <family val="2"/>
      </rPr>
      <t>healthcare and personal care</t>
    </r>
    <r>
      <rPr>
        <sz val="11"/>
        <color theme="1"/>
        <rFont val="Aptos Narrow"/>
        <family val="2"/>
      </rPr>
      <t xml:space="preserve"> each account for nearly </t>
    </r>
    <r>
      <rPr>
        <b/>
        <sz val="11"/>
        <color theme="1"/>
        <rFont val="Aptos Narrow"/>
        <family val="2"/>
      </rPr>
      <t>8.6%</t>
    </r>
    <r>
      <rPr>
        <sz val="11"/>
        <color theme="1"/>
        <rFont val="Aptos Narrow"/>
        <family val="2"/>
      </rPr>
      <t xml:space="preserve"> of the CPI basket, indicating that medical costs and daily hygiene essentials significantly affect household spending.</t>
    </r>
  </si>
  <si>
    <r>
      <t>Transport &amp; communication (7.6%)</t>
    </r>
    <r>
      <rPr>
        <sz val="11"/>
        <color theme="1"/>
        <rFont val="Aptos Narrow"/>
        <family val="2"/>
      </rPr>
      <t xml:space="preserve"> along with </t>
    </r>
    <r>
      <rPr>
        <b/>
        <sz val="11"/>
        <color theme="1"/>
        <rFont val="Aptos Narrow"/>
        <family val="2"/>
      </rPr>
      <t>recreation &amp; amusement (7.9%)</t>
    </r>
    <r>
      <rPr>
        <sz val="11"/>
        <color theme="1"/>
        <rFont val="Aptos Narrow"/>
        <family val="2"/>
      </rPr>
      <t xml:space="preserve"> hold the smallest share in CPI contribution, suggesting lower relative spending impact in these sectors.</t>
    </r>
  </si>
  <si>
    <r>
      <t xml:space="preserve">Everyday spending categories such as </t>
    </r>
    <r>
      <rPr>
        <b/>
        <sz val="11"/>
        <color theme="1"/>
        <rFont val="Aptos Narrow"/>
        <family val="2"/>
      </rPr>
      <t>food &amp; beverages, fuel &amp; light, education, and clothing/fashion</t>
    </r>
    <r>
      <rPr>
        <sz val="11"/>
        <color theme="1"/>
        <rFont val="Aptos Narrow"/>
        <family val="2"/>
      </rPr>
      <t xml:space="preserve"> contribute consistently within the </t>
    </r>
    <r>
      <rPr>
        <b/>
        <sz val="11"/>
        <color theme="1"/>
        <rFont val="Aptos Narrow"/>
        <family val="2"/>
      </rPr>
      <t>8.2%–8.5%</t>
    </r>
    <r>
      <rPr>
        <sz val="11"/>
        <color theme="1"/>
        <rFont val="Aptos Narrow"/>
        <family val="2"/>
      </rPr>
      <t xml:space="preserve"> range, reflecting stable consumer expenditure patterns.</t>
    </r>
  </si>
  <si>
    <r>
      <t xml:space="preserve">The </t>
    </r>
    <r>
      <rPr>
        <b/>
        <sz val="11"/>
        <color theme="1"/>
        <rFont val="Aptos Narrow"/>
        <family val="2"/>
      </rPr>
      <t>pan, tobacco, and intoxicants</t>
    </r>
    <r>
      <rPr>
        <sz val="11"/>
        <color theme="1"/>
        <rFont val="Aptos Narrow"/>
        <family val="2"/>
      </rPr>
      <t xml:space="preserve"> category records the largest contribution at approximately </t>
    </r>
    <r>
      <rPr>
        <b/>
        <sz val="11"/>
        <color theme="1"/>
        <rFont val="Aptos Narrow"/>
        <family val="2"/>
      </rPr>
      <t>9.3%</t>
    </r>
    <r>
      <rPr>
        <sz val="11"/>
        <color theme="1"/>
        <rFont val="Aptos Narrow"/>
        <family val="2"/>
      </rPr>
      <t>, making it one of the strongest drivers affecting overall CPI movement and inflation trends.</t>
    </r>
  </si>
  <si>
    <t>Highest</t>
  </si>
  <si>
    <t>Lowest</t>
  </si>
  <si>
    <t>In 2022, CPI inflation grew the most at 6.60%. This spike was largely triggered by global geoploitic tensions, post-pandemic supply chain disruptions, and a sharp rise in commodity prices.</t>
  </si>
  <si>
    <t>Major Reasons Behind the High Inflation in 2022</t>
  </si>
  <si>
    <t>1. Supply Chain Disruptions After the Pandemic</t>
  </si>
  <si>
    <t>• COVID-19 lockdowns disrupted manufacturing and transportation activities across the world, leading to shortages of raw materials and essential goods. Limited supply availability caused prices to rise significantly.</t>
  </si>
  <si>
    <t>2. Rapid Increase in Consumer Spending</t>
  </si>
  <si>
    <t>• As economies reopened after the pandemic, consumer demand increased sharply for travel, electronics, housing, and lifestyle products. Demand recovered faster than supply, creating upward pressure on prices.</t>
  </si>
  <si>
    <t>3. Impact of the Russia–Ukraine Conflict</t>
  </si>
  <si>
    <t>• The Russia–Ukraine war disrupted the global supply of critical commodities such as crude oil, natural gas, wheat, and fertilizers. This contributed to a worldwide increase in food and energy prices.</t>
  </si>
  <si>
    <t>4. Expansionary Government Spending</t>
  </si>
  <si>
    <t>• Governments introduced stimulus packages and financial support programs during the pandemic to support households and businesses. Increased money circulation and spending contributed to higher inflation levels.</t>
  </si>
  <si>
    <t>5. Workforce and Labor Shortages</t>
  </si>
  <si>
    <t>• Many industries experienced labor shortages after the pandemic, especially in manufacturing, logistics, and transportation sectors. Reduced workforce availability increased operational costs and product prices</t>
  </si>
  <si>
    <t>Recommendations</t>
  </si>
  <si>
    <t>• Improving supply chain efficiency can help stabilize the availability and pricing of essential goods.</t>
  </si>
  <si>
    <t>• Governments should balance public spending carefully to avoid excessive inflationary pressure.</t>
  </si>
  <si>
    <t>• Effective interest rate management can help control borrowing, spending, and overall inflation.</t>
  </si>
  <si>
    <t>• Priority should be given to stabilizing food, fuel, and transportation costs, as these sectors have a major influence on overall CPI inflation.</t>
  </si>
  <si>
    <r>
      <t xml:space="preserve">    Meat and Fish : </t>
    </r>
    <r>
      <rPr>
        <b/>
        <sz val="11"/>
        <color theme="1"/>
        <rFont val="Aptos Narrow"/>
        <family val="2"/>
      </rPr>
      <t>210.25</t>
    </r>
  </si>
  <si>
    <t>Broader Categories</t>
  </si>
  <si>
    <t>Sub-Categories</t>
  </si>
  <si>
    <t>Average Index per Broader Category</t>
  </si>
  <si>
    <t>Y-o-Y  CPI Growth Rate (Rural + Urban) :</t>
  </si>
  <si>
    <t>Data to analyze trends in the prices of broader food category :</t>
  </si>
  <si>
    <t xml:space="preserve">M-o-M % change in Food Categories : </t>
  </si>
  <si>
    <t xml:space="preserve">Total Inflation Per Month in Food Categories : </t>
  </si>
  <si>
    <t>Inflation</t>
  </si>
  <si>
    <t>Month with highest food inflation:</t>
  </si>
  <si>
    <t>Month with lowest food inflation:</t>
  </si>
  <si>
    <t>Inflation of Current Month</t>
  </si>
  <si>
    <t>Inflation of Previous Month</t>
  </si>
  <si>
    <t>Absolute Change in Inflation</t>
  </si>
  <si>
    <t>Contribution of each Food Category towards Inflation:</t>
  </si>
  <si>
    <t>Biggest Induvidual Category Contributor :</t>
  </si>
  <si>
    <t>Pre - Covid Data (March 2019 to February 2020) :</t>
  </si>
  <si>
    <t xml:space="preserve">Increase(%) </t>
  </si>
  <si>
    <t>• Food and beverages (9.0) recorded the highest rise in prices, making it one of the strongest contributors to inflation during the pre-COVID period.
• Health (3.8) and the General Index (6.2) showed comparatively steady and moderate inflation growth over time.</t>
  </si>
  <si>
    <t>Insights:</t>
  </si>
  <si>
    <t>Post - Covid Data (March 2020 to March 2021):</t>
  </si>
  <si>
    <t>• The Health Index recorded the highest inflation growth at 6.2%, making it the fastest-rising category among all CPI segments.
• The General Index increased by approximately 5.5%, indicating an overall rise in consumer prices during the period.
• Food &amp; Beverages grew by 5.2%, highlighting a noticeable contribution to food-related inflation.
• December 2020 experienced the peak CPI inflation level during the COVID-19 period.</t>
  </si>
  <si>
    <t>Impact of Covid on CPI Inflation (2019–2021) :</t>
  </si>
  <si>
    <t>Insights</t>
  </si>
  <si>
    <t>The index exhibited strong growth before the pandemic, reached its peak in December 2020, and then transitioned into a slower growth trend.</t>
  </si>
  <si>
    <t>The index remained relatively stable before COVID-19 but showed a sharp and sustained increase in the post-pandemic period.</t>
  </si>
  <si>
    <t>The index rose consistently throughout, with higher volatility in the post-COVID period.</t>
  </si>
  <si>
    <t>M-o-M Change of CPI Index (January 2021 to May 2023) (Rural + Urban) :</t>
  </si>
  <si>
    <t>The Health category maintained the highest average index value among all categories between 2021 and 2023.</t>
  </si>
  <si>
    <t>Correlation of Crude Oil with other Categories :</t>
  </si>
  <si>
    <t>Correlation with Crude Oil</t>
  </si>
  <si>
    <t xml:space="preserve">It can be seen that none of the categories have a strong correlation with the fluctuation of crude oil prices. </t>
  </si>
  <si>
    <t>However, Food and Beverages has the maximum correlation with Crude Oil (0.12) and Health sector has the lowest correlation(0.08)</t>
  </si>
  <si>
    <t>1. Strengthen Supply Chain Resilience</t>
  </si>
  <si>
    <t>Inflation spikes during 2020–2022 were largely driven by supply chain disruptions and global economic shocks.</t>
  </si>
  <si>
    <t>Enhancing logistics infrastructure, storage facilities, and supplier diversification can help reduce future price volatility.</t>
  </si>
  <si>
    <t>2. Control Healthcare and Personal Care Costs</t>
  </si>
  <si>
    <t>Health and Personal Care categories recorded steady inflation growth, particularly in the post-pandemic period.</t>
  </si>
  <si>
    <t>Expanding public healthcare services and supporting domestic production of medical supplies can improve affordability.</t>
  </si>
  <si>
    <t>3. Manage Fuel and Energy Inflation</t>
  </si>
  <si>
    <t>Fuel &amp; Light prices increased significantly over the decade, contributing to higher transportation and operating costs.</t>
  </si>
  <si>
    <t>Promoting renewable energy, targeted subsidies, and energy-efficient practices can help mitigate inflationary pressures.</t>
  </si>
  <si>
    <t>4. Ensure Affordable Access to Education and Essentials</t>
  </si>
  <si>
    <t>Education, Clothing, and Footwear experienced consistent price increases throughout the analysis period.</t>
  </si>
  <si>
    <t>Monitoring fee increases and supporting affordability measures can help protect consumer purchasing power.</t>
  </si>
  <si>
    <t>5. Maintain Balanced Fiscal and Monetary Policies</t>
  </si>
  <si>
    <t>Government spending and interest rate decisions play a critical role in influencing inflation trends.</t>
  </si>
  <si>
    <t>Prudent fiscal management and timely monetary policy adjustments can help maintain price stability.</t>
  </si>
  <si>
    <t>6. Stabilize Food and Beverage Prices</t>
  </si>
  <si>
    <t>Food &amp; Beverages remained one of the strongest contributors to overall inflation between 2013 and 2023.</t>
  </si>
  <si>
    <t>Investments in storage, transportation, crop diversification, and food reserves can help reduce supply-driven price fluctuations.</t>
  </si>
  <si>
    <t>7. Monitor High-Growth Consumer Categories</t>
  </si>
  <si>
    <t>Categories such as Pan, Tobacco, and Intoxicants experienced substantial price growth during the study period.</t>
  </si>
  <si>
    <t>Balanced taxation policies and consumer awareness initiatives can help manage excessive price increases and demand pressures.</t>
  </si>
  <si>
    <t>Recommendations: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</si>
</sst>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  <font>
      <b/>
      <sz val="20"/>
      <color theme="1"/>
      <name val="Aptos Narrow"/>
      <family val="2"/>
    </font>
    <font>
      <sz val="9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4"/>
      <color theme="1"/>
      <name val="Aptos Narrow"/>
      <family val="2"/>
    </font>
    <font>
      <b/>
      <sz val="11"/>
      <color rgb="FFC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theme="9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theme="9" tint="0.79998168889431442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164" fontId="0" fillId="0" borderId="0" xfId="0" applyNumberFormat="1"/>
    <xf numFmtId="0" fontId="0" fillId="0" borderId="0" xfId="0" applyFill="1"/>
    <xf numFmtId="0" fontId="2" fillId="4" borderId="0" xfId="0" applyFont="1" applyFill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4" fillId="0" borderId="0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0" xfId="0" applyFont="1" applyBorder="1" applyAlignment="1">
      <alignment horizontal="left"/>
    </xf>
    <xf numFmtId="0" fontId="7" fillId="0" borderId="9" xfId="0" applyFont="1" applyBorder="1"/>
    <xf numFmtId="0" fontId="3" fillId="0" borderId="11" xfId="0" applyFont="1" applyBorder="1"/>
    <xf numFmtId="0" fontId="5" fillId="0" borderId="0" xfId="0" applyFont="1" applyAlignment="1"/>
    <xf numFmtId="0" fontId="6" fillId="0" borderId="0" xfId="0" applyFont="1" applyAlignment="1"/>
    <xf numFmtId="0" fontId="9" fillId="0" borderId="0" xfId="0" applyFont="1"/>
    <xf numFmtId="164" fontId="3" fillId="0" borderId="0" xfId="0" applyNumberFormat="1" applyFont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/>
    </xf>
    <xf numFmtId="0" fontId="3" fillId="5" borderId="0" xfId="0" applyFont="1" applyFill="1"/>
    <xf numFmtId="164" fontId="4" fillId="5" borderId="0" xfId="0" applyNumberFormat="1" applyFont="1" applyFill="1" applyAlignment="1">
      <alignment horizontal="left" vertical="center"/>
    </xf>
    <xf numFmtId="0" fontId="8" fillId="5" borderId="0" xfId="0" applyFont="1" applyFill="1"/>
    <xf numFmtId="0" fontId="4" fillId="5" borderId="0" xfId="0" applyFont="1" applyFill="1"/>
    <xf numFmtId="164" fontId="3" fillId="5" borderId="1" xfId="0" applyNumberFormat="1" applyFont="1" applyFill="1" applyBorder="1"/>
    <xf numFmtId="0" fontId="3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/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0" xfId="0" applyFont="1" applyFill="1"/>
    <xf numFmtId="0" fontId="3" fillId="8" borderId="0" xfId="0" applyFont="1" applyFill="1"/>
    <xf numFmtId="0" fontId="3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/>
    </xf>
    <xf numFmtId="0" fontId="3" fillId="8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0" fontId="4" fillId="8" borderId="0" xfId="0" applyFont="1" applyFill="1" applyAlignment="1">
      <alignment vertical="center"/>
    </xf>
    <xf numFmtId="0" fontId="9" fillId="8" borderId="0" xfId="0" applyFont="1" applyFill="1"/>
    <xf numFmtId="0" fontId="4" fillId="0" borderId="0" xfId="0" applyFont="1" applyAlignment="1">
      <alignment horizontal="left"/>
    </xf>
    <xf numFmtId="0" fontId="3" fillId="0" borderId="1" xfId="0" applyFont="1" applyFill="1" applyBorder="1"/>
    <xf numFmtId="2" fontId="3" fillId="0" borderId="1" xfId="0" applyNumberFormat="1" applyFont="1" applyBorder="1"/>
    <xf numFmtId="0" fontId="3" fillId="0" borderId="0" xfId="0" applyFont="1" applyAlignment="1"/>
    <xf numFmtId="0" fontId="3" fillId="0" borderId="1" xfId="0" applyFont="1" applyBorder="1" applyAlignment="1">
      <alignment vertical="center" wrapText="1"/>
    </xf>
    <xf numFmtId="10" fontId="4" fillId="0" borderId="0" xfId="0" applyNumberFormat="1" applyFont="1" applyAlignment="1">
      <alignment horizontal="left"/>
    </xf>
    <xf numFmtId="0" fontId="5" fillId="8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3" fillId="0" borderId="0" xfId="0" applyFont="1" applyFill="1"/>
    <xf numFmtId="164" fontId="4" fillId="0" borderId="0" xfId="0" applyNumberFormat="1" applyFont="1" applyFill="1" applyAlignment="1">
      <alignment horizontal="left" vertical="center"/>
    </xf>
    <xf numFmtId="0" fontId="4" fillId="7" borderId="1" xfId="0" applyFont="1" applyFill="1" applyBorder="1"/>
    <xf numFmtId="2" fontId="4" fillId="7" borderId="1" xfId="0" applyNumberFormat="1" applyFont="1" applyFill="1" applyBorder="1"/>
    <xf numFmtId="0" fontId="4" fillId="7" borderId="1" xfId="0" applyFont="1" applyFill="1" applyBorder="1" applyAlignment="1">
      <alignment horizontal="center" vertical="center" wrapText="1"/>
    </xf>
    <xf numFmtId="17" fontId="11" fillId="5" borderId="0" xfId="0" applyNumberFormat="1" applyFont="1" applyFill="1" applyAlignment="1"/>
    <xf numFmtId="17" fontId="11" fillId="5" borderId="0" xfId="0" applyNumberFormat="1" applyFont="1" applyFill="1"/>
    <xf numFmtId="2" fontId="3" fillId="0" borderId="1" xfId="0" applyNumberFormat="1" applyFont="1" applyBorder="1" applyAlignment="1">
      <alignment vertical="center" wrapText="1"/>
    </xf>
    <xf numFmtId="0" fontId="4" fillId="9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4" fillId="7" borderId="0" xfId="0" applyFont="1" applyFill="1"/>
    <xf numFmtId="164" fontId="4" fillId="7" borderId="0" xfId="0" applyNumberFormat="1" applyFont="1" applyFill="1"/>
    <xf numFmtId="0" fontId="3" fillId="10" borderId="1" xfId="0" applyFont="1" applyFill="1" applyBorder="1"/>
    <xf numFmtId="0" fontId="4" fillId="9" borderId="1" xfId="0" applyFont="1" applyFill="1" applyBorder="1" applyAlignment="1">
      <alignment horizontal="center" vertical="center"/>
    </xf>
    <xf numFmtId="0" fontId="3" fillId="11" borderId="1" xfId="0" applyFont="1" applyFill="1" applyBorder="1"/>
    <xf numFmtId="0" fontId="3" fillId="12" borderId="1" xfId="0" applyFont="1" applyFill="1" applyBorder="1"/>
    <xf numFmtId="0" fontId="3" fillId="13" borderId="1" xfId="0" applyFont="1" applyFill="1" applyBorder="1"/>
    <xf numFmtId="0" fontId="3" fillId="14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10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64" fontId="3" fillId="0" borderId="1" xfId="0" applyNumberFormat="1" applyFont="1" applyFill="1" applyBorder="1"/>
    <xf numFmtId="0" fontId="5" fillId="0" borderId="0" xfId="0" applyFont="1"/>
    <xf numFmtId="0" fontId="3" fillId="0" borderId="1" xfId="0" applyFont="1" applyFill="1" applyBorder="1" applyAlignment="1">
      <alignment horizontal="left" vertical="top"/>
    </xf>
    <xf numFmtId="0" fontId="5" fillId="6" borderId="0" xfId="0" applyFont="1" applyFill="1" applyAlignment="1">
      <alignment vertical="center"/>
    </xf>
    <xf numFmtId="0" fontId="3" fillId="6" borderId="0" xfId="0" applyFont="1" applyFill="1"/>
    <xf numFmtId="0" fontId="4" fillId="6" borderId="0" xfId="0" applyFont="1" applyFill="1"/>
    <xf numFmtId="0" fontId="3" fillId="6" borderId="0" xfId="0" applyFont="1" applyFill="1" applyAlignment="1">
      <alignment horizontal="left" vertical="center" indent="1"/>
    </xf>
    <xf numFmtId="0" fontId="4" fillId="8" borderId="0" xfId="0" applyFont="1" applyFill="1" applyAlignment="1">
      <alignment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2" fontId="3" fillId="5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5" fillId="8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3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8" borderId="0" xfId="0" applyFont="1" applyFill="1" applyAlignment="1">
      <alignment horizontal="left" vertical="top" wrapText="1"/>
    </xf>
    <xf numFmtId="0" fontId="8" fillId="8" borderId="0" xfId="0" applyFont="1" applyFill="1" applyAlignment="1">
      <alignment horizontal="left" vertical="top" wrapText="1"/>
    </xf>
    <xf numFmtId="0" fontId="3" fillId="8" borderId="0" xfId="0" applyFont="1" applyFill="1" applyAlignment="1">
      <alignment vertical="top" wrapText="1"/>
    </xf>
    <xf numFmtId="0" fontId="3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3" fillId="8" borderId="0" xfId="0" applyFont="1" applyFill="1"/>
  </cellXfs>
  <cellStyles count="1">
    <cellStyle name="Normal" xfId="0" builtinId="0"/>
  </cellStyles>
  <dxfs count="8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Contribution</a:t>
            </a:r>
            <a:r>
              <a:rPr lang="en-US"/>
              <a:t> (Rural + 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 1'!$B$35</c:f>
              <c:strCache>
                <c:ptCount val="1"/>
                <c:pt idx="0">
                  <c:v>Contribution (%)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 1'!$A$36:$A$47</c:f>
              <c:strCache>
                <c:ptCount val="12"/>
                <c:pt idx="0">
                  <c:v>Intoxicants</c:v>
                </c:pt>
                <c:pt idx="1">
                  <c:v>Health</c:v>
                </c:pt>
                <c:pt idx="2">
                  <c:v>Personal Care</c:v>
                </c:pt>
                <c:pt idx="3">
                  <c:v>Fashion</c:v>
                </c:pt>
                <c:pt idx="4">
                  <c:v>Fuel and light</c:v>
                </c:pt>
                <c:pt idx="5">
                  <c:v>Food &amp; Beverages</c:v>
                </c:pt>
                <c:pt idx="6">
                  <c:v>Education</c:v>
                </c:pt>
                <c:pt idx="7">
                  <c:v>Miscellaneous</c:v>
                </c:pt>
                <c:pt idx="8">
                  <c:v>Housing</c:v>
                </c:pt>
                <c:pt idx="9">
                  <c:v>Household Goods and Services</c:v>
                </c:pt>
                <c:pt idx="10">
                  <c:v>Recreation and Amusement</c:v>
                </c:pt>
                <c:pt idx="11">
                  <c:v>Transport and Communication</c:v>
                </c:pt>
              </c:strCache>
            </c:strRef>
          </c:cat>
          <c:val>
            <c:numRef>
              <c:f>'PROBLEM STATEMENT 1'!$B$36:$B$47</c:f>
              <c:numCache>
                <c:formatCode>0.0</c:formatCode>
                <c:ptCount val="12"/>
                <c:pt idx="0">
                  <c:v>9.3266412491203106</c:v>
                </c:pt>
                <c:pt idx="1">
                  <c:v>8.616702885381299</c:v>
                </c:pt>
                <c:pt idx="2">
                  <c:v>8.5935022852591096</c:v>
                </c:pt>
                <c:pt idx="3">
                  <c:v>8.5146202448436643</c:v>
                </c:pt>
                <c:pt idx="4">
                  <c:v>8.4821394046725995</c:v>
                </c:pt>
                <c:pt idx="5">
                  <c:v>8.2277061566659331</c:v>
                </c:pt>
                <c:pt idx="6">
                  <c:v>8.2176525632796338</c:v>
                </c:pt>
                <c:pt idx="7">
                  <c:v>8.1526908829375024</c:v>
                </c:pt>
                <c:pt idx="8">
                  <c:v>8.1480507629130638</c:v>
                </c:pt>
                <c:pt idx="9">
                  <c:v>8.1294902828153131</c:v>
                </c:pt>
                <c:pt idx="10">
                  <c:v>7.9438854818377935</c:v>
                </c:pt>
                <c:pt idx="11">
                  <c:v>7.6469178002737657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DD7-B880-AAAE3291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89231"/>
        <c:axId val="112594991"/>
      </c:barChart>
      <c:catAx>
        <c:axId val="11258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4991"/>
        <c:crosses val="autoZero"/>
        <c:auto val="1"/>
        <c:lblAlgn val="ctr"/>
        <c:lblOffset val="100"/>
        <c:noMultiLvlLbl val="0"/>
      </c:catAx>
      <c:valAx>
        <c:axId val="1125949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8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Y-o-Y Growth Rate in CPI (Rural + 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 STATEMENT 2'!$D$2</c:f>
              <c:strCache>
                <c:ptCount val="1"/>
                <c:pt idx="0">
                  <c:v>Y-o-Y Growth (%)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'PROBLEM STATEMENT 2'!$A$3:$A$9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'PROBLEM STATEMENT 2'!$D$3:$D$9</c:f>
              <c:numCache>
                <c:formatCode>0.00</c:formatCode>
                <c:ptCount val="7"/>
                <c:pt idx="0">
                  <c:v>3.3230054221533631</c:v>
                </c:pt>
                <c:pt idx="1">
                  <c:v>3.96093213103144</c:v>
                </c:pt>
                <c:pt idx="2">
                  <c:v>3.9358550145593822</c:v>
                </c:pt>
                <c:pt idx="3">
                  <c:v>6.3816702409486306</c:v>
                </c:pt>
                <c:pt idx="4">
                  <c:v>5.2774607315615372</c:v>
                </c:pt>
                <c:pt idx="5">
                  <c:v>6.6029943211151423</c:v>
                </c:pt>
                <c:pt idx="6">
                  <c:v>3.1953121216523472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1-40FF-BBA3-9E9825014DCD}"/>
            </c:ext>
          </c:extLst>
        </c:ser>
        <c:ser>
          <c:idx val="1"/>
          <c:order val="1"/>
          <c:tx>
            <c:strRef>
              <c:f>'PROBLEM STATEMENT 2'!$E$2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'PROBLEM STATEMENT 2'!$A$3:$A$9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'PROBLEM STATEMENT 2'!$E$3:$E$9</c:f>
              <c:numCache>
                <c:formatCode>0.00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1-40FF-BBA3-9E9825014D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446655"/>
        <c:axId val="106443775"/>
      </c:scatterChart>
      <c:valAx>
        <c:axId val="10644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3775"/>
        <c:crosses val="autoZero"/>
        <c:crossBetween val="midCat"/>
      </c:valAx>
      <c:valAx>
        <c:axId val="10644377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'PROBLEM STATEMENT 3'!$B$30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E9-450E-A1F2-775760C383A9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E9-450E-A1F2-775760C383A9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E9-450E-A1F2-775760C383A9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E9-450E-A1F2-775760C383A9}"/>
                </c:ext>
              </c:extLst>
            </c:dLbl>
            <c:dLbl>
              <c:idx val="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E9-450E-A1F2-775760C383A9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E9-450E-A1F2-775760C383A9}"/>
                </c:ext>
              </c:extLst>
            </c:dLbl>
            <c:spPr>
              <a:noFill/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 3'!$A$31:$A$41</c:f>
              <c:strCache>
                <c:ptCount val="11"/>
                <c:pt idx="0">
                  <c:v>2022-June</c:v>
                </c:pt>
                <c:pt idx="1">
                  <c:v>2022-July</c:v>
                </c:pt>
                <c:pt idx="2">
                  <c:v>2022-August</c:v>
                </c:pt>
                <c:pt idx="3">
                  <c:v>2022-September</c:v>
                </c:pt>
                <c:pt idx="4">
                  <c:v>2022-October</c:v>
                </c:pt>
                <c:pt idx="5">
                  <c:v>2022-November</c:v>
                </c:pt>
                <c:pt idx="6">
                  <c:v>2022-December</c:v>
                </c:pt>
                <c:pt idx="7">
                  <c:v>2023-January</c:v>
                </c:pt>
                <c:pt idx="8">
                  <c:v>2023-February</c:v>
                </c:pt>
                <c:pt idx="9">
                  <c:v>2023-March</c:v>
                </c:pt>
                <c:pt idx="10">
                  <c:v>2023-April</c:v>
                </c:pt>
              </c:strCache>
            </c:strRef>
          </c:cat>
          <c:val>
            <c:numRef>
              <c:f>'PROBLEM STATEMENT 3'!$B$31:$B$41</c:f>
              <c:numCache>
                <c:formatCode>0.00</c:formatCode>
                <c:ptCount val="11"/>
                <c:pt idx="0">
                  <c:v>9.6533747929593918</c:v>
                </c:pt>
                <c:pt idx="1">
                  <c:v>3.4530516286409436</c:v>
                </c:pt>
                <c:pt idx="2">
                  <c:v>1.8992777974822581</c:v>
                </c:pt>
                <c:pt idx="3">
                  <c:v>5.4123641651780421</c:v>
                </c:pt>
                <c:pt idx="4">
                  <c:v>7.5316998827472608</c:v>
                </c:pt>
                <c:pt idx="5">
                  <c:v>1.3297854990344027</c:v>
                </c:pt>
                <c:pt idx="6">
                  <c:v>-6.5368225050463664</c:v>
                </c:pt>
                <c:pt idx="7">
                  <c:v>3.632988300191168</c:v>
                </c:pt>
                <c:pt idx="8">
                  <c:v>-6.6643307038008697</c:v>
                </c:pt>
                <c:pt idx="9">
                  <c:v>6.8194968494579219E-2</c:v>
                </c:pt>
                <c:pt idx="10">
                  <c:v>5.3768253332349767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9-450E-A1F2-775760C38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370208"/>
        <c:axId val="1065374528"/>
      </c:lineChart>
      <c:catAx>
        <c:axId val="106537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374528"/>
        <c:crosses val="autoZero"/>
        <c:auto val="1"/>
        <c:lblAlgn val="ctr"/>
        <c:lblOffset val="100"/>
        <c:noMultiLvlLbl val="0"/>
      </c:catAx>
      <c:valAx>
        <c:axId val="10653745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370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'PROBLEM STATEMENT 4'!$B$2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4'!$A$3:$A$13</c:f>
              <c:strCache>
                <c:ptCount val="11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</c:strCache>
            </c:strRef>
          </c:cat>
          <c:val>
            <c:numRef>
              <c:f>'PROBLEM STATEMENT 4'!$B$3:$B$13</c:f>
              <c:numCache>
                <c:formatCode>General</c:formatCode>
                <c:ptCount val="11"/>
                <c:pt idx="0">
                  <c:v>138.1</c:v>
                </c:pt>
                <c:pt idx="1">
                  <c:v>140.9</c:v>
                </c:pt>
                <c:pt idx="2">
                  <c:v>142.69999999999999</c:v>
                </c:pt>
                <c:pt idx="3">
                  <c:v>144.69999999999999</c:v>
                </c:pt>
                <c:pt idx="4">
                  <c:v>145.9</c:v>
                </c:pt>
                <c:pt idx="5">
                  <c:v>147</c:v>
                </c:pt>
                <c:pt idx="6">
                  <c:v>149.6</c:v>
                </c:pt>
                <c:pt idx="7">
                  <c:v>151.9</c:v>
                </c:pt>
                <c:pt idx="8">
                  <c:v>155</c:v>
                </c:pt>
                <c:pt idx="9">
                  <c:v>153.5</c:v>
                </c:pt>
                <c:pt idx="10">
                  <c:v>150.5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5-4484-B771-CCDEB5072FC4}"/>
            </c:ext>
          </c:extLst>
        </c:ser>
        <c:ser>
          <c:idx val="1"/>
          <c:order val="1"/>
          <c:tx>
            <c:strRef>
              <c:f>'PROBLEM STATEMENT 4'!$C$2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4'!$A$3:$A$13</c:f>
              <c:strCache>
                <c:ptCount val="11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</c:strCache>
            </c:strRef>
          </c:cat>
          <c:val>
            <c:numRef>
              <c:f>'PROBLEM STATEMENT 4'!$C$3:$C$13</c:f>
              <c:numCache>
                <c:formatCode>General</c:formatCode>
                <c:ptCount val="11"/>
                <c:pt idx="0">
                  <c:v>146.19999999999999</c:v>
                </c:pt>
                <c:pt idx="1">
                  <c:v>146.9</c:v>
                </c:pt>
                <c:pt idx="2">
                  <c:v>147.4</c:v>
                </c:pt>
                <c:pt idx="3">
                  <c:v>147.9</c:v>
                </c:pt>
                <c:pt idx="4">
                  <c:v>148.5</c:v>
                </c:pt>
                <c:pt idx="5">
                  <c:v>149</c:v>
                </c:pt>
                <c:pt idx="6">
                  <c:v>149.4</c:v>
                </c:pt>
                <c:pt idx="7">
                  <c:v>149.9</c:v>
                </c:pt>
                <c:pt idx="8">
                  <c:v>150.4</c:v>
                </c:pt>
                <c:pt idx="9">
                  <c:v>151.19999999999999</c:v>
                </c:pt>
                <c:pt idx="10">
                  <c:v>151.69999999999999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5-4484-B771-CCDEB5072FC4}"/>
            </c:ext>
          </c:extLst>
        </c:ser>
        <c:ser>
          <c:idx val="2"/>
          <c:order val="2"/>
          <c:tx>
            <c:strRef>
              <c:f>'PROBLEM STATEMENT 4'!$D$2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4'!$A$3:$A$13</c:f>
              <c:strCache>
                <c:ptCount val="11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</c:strCache>
            </c:strRef>
          </c:cat>
          <c:val>
            <c:numRef>
              <c:f>'PROBLEM STATEMENT 4'!$D$3:$D$13</c:f>
              <c:numCache>
                <c:formatCode>General</c:formatCode>
                <c:ptCount val="11"/>
                <c:pt idx="0">
                  <c:v>140.4</c:v>
                </c:pt>
                <c:pt idx="1">
                  <c:v>142</c:v>
                </c:pt>
                <c:pt idx="2">
                  <c:v>142.9</c:v>
                </c:pt>
                <c:pt idx="3">
                  <c:v>144.19999999999999</c:v>
                </c:pt>
                <c:pt idx="4">
                  <c:v>145</c:v>
                </c:pt>
                <c:pt idx="5">
                  <c:v>145.80000000000001</c:v>
                </c:pt>
                <c:pt idx="6">
                  <c:v>147.19999999999999</c:v>
                </c:pt>
                <c:pt idx="7">
                  <c:v>148.6</c:v>
                </c:pt>
                <c:pt idx="8">
                  <c:v>150.4</c:v>
                </c:pt>
                <c:pt idx="9">
                  <c:v>150.19999999999999</c:v>
                </c:pt>
                <c:pt idx="10">
                  <c:v>149.1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5-4484-B771-CCDEB5072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416832"/>
        <c:axId val="984425472"/>
      </c:lineChart>
      <c:catAx>
        <c:axId val="98441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25472"/>
        <c:crosses val="autoZero"/>
        <c:auto val="1"/>
        <c:lblAlgn val="ctr"/>
        <c:lblOffset val="100"/>
        <c:noMultiLvlLbl val="0"/>
      </c:catAx>
      <c:valAx>
        <c:axId val="98442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1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Inflation</a:t>
            </a:r>
            <a:r>
              <a:rPr lang="en-IN" sz="1400" baseline="0"/>
              <a:t> Increase (%)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6FD2-43F8-8AC8-340BDB5555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FD2-43F8-8AC8-340BDB55555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FD2-43F8-8AC8-340BDB555553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7.340241796200348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1"/>
                        </a:solidFill>
                        <a:latin typeface="Agency FB" panose="020B0503020202020204" pitchFamily="34" charset="0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1"/>
                        </a:solidFill>
                      </a:rPr>
                      <a:t>9.0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2-6FD2-43F8-8AC8-340BDB555553}"/>
                </c:ext>
              </c:extLst>
            </c:dLbl>
            <c:dLbl>
              <c:idx val="1"/>
              <c:layout>
                <c:manualLayout>
                  <c:x val="-7.5006794073862265E-2"/>
                  <c:y val="-3.425230418875194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ED7D31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FD2-43F8-8AC8-340BDB555553}"/>
                </c:ext>
              </c:extLst>
            </c:dLbl>
            <c:dLbl>
              <c:idx val="2"/>
              <c:layout>
                <c:manualLayout>
                  <c:x val="-5.2777777777777805E-2"/>
                  <c:y val="-4.3177892918825561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" lastClr="FFFFFF">
                      <a:lumMod val="50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FD2-43F8-8AC8-340BDB55555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'PROBLEM STATEMENT 4'!$B$2:$D$2</c:f>
              <c:strCache>
                <c:ptCount val="3"/>
                <c:pt idx="0">
                  <c:v>Food and beverages</c:v>
                </c:pt>
                <c:pt idx="1">
                  <c:v>Health</c:v>
                </c:pt>
                <c:pt idx="2">
                  <c:v>General index</c:v>
                </c:pt>
              </c:strCache>
            </c:strRef>
          </c:cat>
          <c:val>
            <c:numRef>
              <c:f>'PROBLEM STATEMENT 4'!$B$14:$D$14</c:f>
              <c:numCache>
                <c:formatCode>0.0</c:formatCode>
                <c:ptCount val="3"/>
                <c:pt idx="0">
                  <c:v>8.9790007241129661</c:v>
                </c:pt>
                <c:pt idx="1">
                  <c:v>3.7619699042407659</c:v>
                </c:pt>
                <c:pt idx="2">
                  <c:v>6.1965811965811888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2-43F8-8AC8-340BDB555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'PROBLEM STATEMENT 4'!$B$20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4'!$A$21:$A$33</c:f>
              <c:strCache>
                <c:ptCount val="13"/>
                <c:pt idx="0">
                  <c:v>2020-March</c:v>
                </c:pt>
                <c:pt idx="1">
                  <c:v>2020-April</c:v>
                </c:pt>
                <c:pt idx="2">
                  <c:v>2020-May</c:v>
                </c:pt>
                <c:pt idx="3">
                  <c:v>2020-June</c:v>
                </c:pt>
                <c:pt idx="4">
                  <c:v>2020-July</c:v>
                </c:pt>
                <c:pt idx="5">
                  <c:v>2020-August</c:v>
                </c:pt>
                <c:pt idx="6">
                  <c:v>2020-September</c:v>
                </c:pt>
                <c:pt idx="7">
                  <c:v>2020-October</c:v>
                </c:pt>
                <c:pt idx="8">
                  <c:v>2020-November</c:v>
                </c:pt>
                <c:pt idx="9">
                  <c:v>2020-December</c:v>
                </c:pt>
                <c:pt idx="10">
                  <c:v>2021-January</c:v>
                </c:pt>
                <c:pt idx="11">
                  <c:v>2021-February</c:v>
                </c:pt>
                <c:pt idx="12">
                  <c:v>2021-March</c:v>
                </c:pt>
              </c:strCache>
            </c:strRef>
          </c:cat>
          <c:val>
            <c:numRef>
              <c:f>'PROBLEM STATEMENT 4'!$B$21:$B$33</c:f>
              <c:numCache>
                <c:formatCode>General</c:formatCode>
                <c:ptCount val="13"/>
                <c:pt idx="0">
                  <c:v>148.9</c:v>
                </c:pt>
                <c:pt idx="1">
                  <c:v>151.4</c:v>
                </c:pt>
                <c:pt idx="2">
                  <c:v>156.5</c:v>
                </c:pt>
                <c:pt idx="3">
                  <c:v>154</c:v>
                </c:pt>
                <c:pt idx="4">
                  <c:v>154</c:v>
                </c:pt>
                <c:pt idx="5">
                  <c:v>157</c:v>
                </c:pt>
                <c:pt idx="6">
                  <c:v>158</c:v>
                </c:pt>
                <c:pt idx="7">
                  <c:v>161.4</c:v>
                </c:pt>
                <c:pt idx="8">
                  <c:v>164.7</c:v>
                </c:pt>
                <c:pt idx="9">
                  <c:v>165.4</c:v>
                </c:pt>
                <c:pt idx="10">
                  <c:v>161</c:v>
                </c:pt>
                <c:pt idx="11">
                  <c:v>156.9</c:v>
                </c:pt>
                <c:pt idx="12">
                  <c:v>156.69999999999999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6-4CD3-93B7-B35924F94969}"/>
            </c:ext>
          </c:extLst>
        </c:ser>
        <c:ser>
          <c:idx val="1"/>
          <c:order val="1"/>
          <c:tx>
            <c:strRef>
              <c:f>'PROBLEM STATEMENT 4'!$C$20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4'!$A$21:$A$33</c:f>
              <c:strCache>
                <c:ptCount val="13"/>
                <c:pt idx="0">
                  <c:v>2020-March</c:v>
                </c:pt>
                <c:pt idx="1">
                  <c:v>2020-April</c:v>
                </c:pt>
                <c:pt idx="2">
                  <c:v>2020-May</c:v>
                </c:pt>
                <c:pt idx="3">
                  <c:v>2020-June</c:v>
                </c:pt>
                <c:pt idx="4">
                  <c:v>2020-July</c:v>
                </c:pt>
                <c:pt idx="5">
                  <c:v>2020-August</c:v>
                </c:pt>
                <c:pt idx="6">
                  <c:v>2020-September</c:v>
                </c:pt>
                <c:pt idx="7">
                  <c:v>2020-October</c:v>
                </c:pt>
                <c:pt idx="8">
                  <c:v>2020-November</c:v>
                </c:pt>
                <c:pt idx="9">
                  <c:v>2020-December</c:v>
                </c:pt>
                <c:pt idx="10">
                  <c:v>2021-January</c:v>
                </c:pt>
                <c:pt idx="11">
                  <c:v>2021-February</c:v>
                </c:pt>
                <c:pt idx="12">
                  <c:v>2021-March</c:v>
                </c:pt>
              </c:strCache>
            </c:strRef>
          </c:cat>
          <c:val>
            <c:numRef>
              <c:f>'PROBLEM STATEMENT 4'!$C$21:$C$33</c:f>
              <c:numCache>
                <c:formatCode>General</c:formatCode>
                <c:ptCount val="13"/>
                <c:pt idx="0">
                  <c:v>152.30000000000001</c:v>
                </c:pt>
                <c:pt idx="1">
                  <c:v>150.69999999999999</c:v>
                </c:pt>
                <c:pt idx="2">
                  <c:v>153.4</c:v>
                </c:pt>
                <c:pt idx="3">
                  <c:v>154.4</c:v>
                </c:pt>
                <c:pt idx="4">
                  <c:v>154.4</c:v>
                </c:pt>
                <c:pt idx="5">
                  <c:v>155</c:v>
                </c:pt>
                <c:pt idx="6">
                  <c:v>155.6</c:v>
                </c:pt>
                <c:pt idx="7">
                  <c:v>156.30000000000001</c:v>
                </c:pt>
                <c:pt idx="8">
                  <c:v>157.19999999999999</c:v>
                </c:pt>
                <c:pt idx="9">
                  <c:v>158.30000000000001</c:v>
                </c:pt>
                <c:pt idx="10">
                  <c:v>159.30000000000001</c:v>
                </c:pt>
                <c:pt idx="11">
                  <c:v>161.30000000000001</c:v>
                </c:pt>
                <c:pt idx="12">
                  <c:v>161.69999999999999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6-4CD3-93B7-B35924F94969}"/>
            </c:ext>
          </c:extLst>
        </c:ser>
        <c:ser>
          <c:idx val="2"/>
          <c:order val="2"/>
          <c:tx>
            <c:strRef>
              <c:f>'PROBLEM STATEMENT 4'!$D$20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4'!$A$21:$A$33</c:f>
              <c:strCache>
                <c:ptCount val="13"/>
                <c:pt idx="0">
                  <c:v>2020-March</c:v>
                </c:pt>
                <c:pt idx="1">
                  <c:v>2020-April</c:v>
                </c:pt>
                <c:pt idx="2">
                  <c:v>2020-May</c:v>
                </c:pt>
                <c:pt idx="3">
                  <c:v>2020-June</c:v>
                </c:pt>
                <c:pt idx="4">
                  <c:v>2020-July</c:v>
                </c:pt>
                <c:pt idx="5">
                  <c:v>2020-August</c:v>
                </c:pt>
                <c:pt idx="6">
                  <c:v>2020-September</c:v>
                </c:pt>
                <c:pt idx="7">
                  <c:v>2020-October</c:v>
                </c:pt>
                <c:pt idx="8">
                  <c:v>2020-November</c:v>
                </c:pt>
                <c:pt idx="9">
                  <c:v>2020-December</c:v>
                </c:pt>
                <c:pt idx="10">
                  <c:v>2021-January</c:v>
                </c:pt>
                <c:pt idx="11">
                  <c:v>2021-February</c:v>
                </c:pt>
                <c:pt idx="12">
                  <c:v>2021-March</c:v>
                </c:pt>
              </c:strCache>
            </c:strRef>
          </c:cat>
          <c:val>
            <c:numRef>
              <c:f>'PROBLEM STATEMENT 4'!$D$21:$D$33</c:f>
              <c:numCache>
                <c:formatCode>General</c:formatCode>
                <c:ptCount val="13"/>
                <c:pt idx="0">
                  <c:v>148.6</c:v>
                </c:pt>
                <c:pt idx="1">
                  <c:v>153.30000000000001</c:v>
                </c:pt>
                <c:pt idx="2">
                  <c:v>153.30000000000001</c:v>
                </c:pt>
                <c:pt idx="3">
                  <c:v>151.80000000000001</c:v>
                </c:pt>
                <c:pt idx="4">
                  <c:v>151.80000000000001</c:v>
                </c:pt>
                <c:pt idx="5">
                  <c:v>153.9</c:v>
                </c:pt>
                <c:pt idx="6">
                  <c:v>154.69999999999999</c:v>
                </c:pt>
                <c:pt idx="7">
                  <c:v>156.4</c:v>
                </c:pt>
                <c:pt idx="8">
                  <c:v>158.4</c:v>
                </c:pt>
                <c:pt idx="9">
                  <c:v>158.9</c:v>
                </c:pt>
                <c:pt idx="10">
                  <c:v>157.30000000000001</c:v>
                </c:pt>
                <c:pt idx="11">
                  <c:v>156.6</c:v>
                </c:pt>
                <c:pt idx="12">
                  <c:v>156.80000000000001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6-4CD3-93B7-B35924F94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161679"/>
        <c:axId val="614170319"/>
      </c:lineChart>
      <c:catAx>
        <c:axId val="61416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70319"/>
        <c:crosses val="autoZero"/>
        <c:auto val="1"/>
        <c:lblAlgn val="ctr"/>
        <c:lblOffset val="100"/>
        <c:noMultiLvlLbl val="0"/>
      </c:catAx>
      <c:valAx>
        <c:axId val="614170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6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Increase(%)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'PROBLEM STATEMENT 4'!$A$34</c:f>
              <c:strCache>
                <c:ptCount val="1"/>
                <c:pt idx="0">
                  <c:v>Increase(%)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C28-41E2-BE42-B3375B499B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5C28-41E2-BE42-B3375B499B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C28-41E2-BE42-B3375B499B24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C28-41E2-BE42-B3375B499B24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C28-41E2-BE42-B3375B499B24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3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C28-41E2-BE42-B3375B499B2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'PROBLEM STATEMENT 4'!$B$20:$D$20</c:f>
              <c:strCache>
                <c:ptCount val="3"/>
                <c:pt idx="0">
                  <c:v>Food and beverages</c:v>
                </c:pt>
                <c:pt idx="1">
                  <c:v>Health</c:v>
                </c:pt>
                <c:pt idx="2">
                  <c:v>General index</c:v>
                </c:pt>
              </c:strCache>
            </c:strRef>
          </c:cat>
          <c:val>
            <c:numRef>
              <c:f>'PROBLEM STATEMENT 4'!$B$34:$D$34</c:f>
              <c:numCache>
                <c:formatCode>0.0</c:formatCode>
                <c:ptCount val="3"/>
                <c:pt idx="0">
                  <c:v>5.2384150436534469</c:v>
                </c:pt>
                <c:pt idx="1">
                  <c:v>6.1720288903479821</c:v>
                </c:pt>
                <c:pt idx="2">
                  <c:v>5.5181695827725559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8-41E2-BE42-B3375B499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  <a:latin typeface="Aptos Display" panose="020B0004020202020204" pitchFamily="34" charset="0"/>
              </a:rPr>
              <a:t>Pre-Covid Vs</a:t>
            </a:r>
            <a:r>
              <a:rPr lang="en-IN" sz="1800" b="1" baseline="0">
                <a:solidFill>
                  <a:schemeClr val="tx1"/>
                </a:solidFill>
                <a:latin typeface="Aptos Display" panose="020B0004020202020204" pitchFamily="34" charset="0"/>
              </a:rPr>
              <a:t> Post-Covid</a:t>
            </a:r>
            <a:endParaRPr lang="en-IN" sz="1800" b="1">
              <a:solidFill>
                <a:schemeClr val="tx1"/>
              </a:solidFill>
              <a:latin typeface="Aptos Display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STATEMENT 4'!$B$40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4'!$A$41:$A$65</c:f>
              <c:strCache>
                <c:ptCount val="25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  <c:pt idx="12">
                  <c:v>2020-March</c:v>
                </c:pt>
                <c:pt idx="13">
                  <c:v>2020-April</c:v>
                </c:pt>
                <c:pt idx="14">
                  <c:v>2020-May</c:v>
                </c:pt>
                <c:pt idx="15">
                  <c:v>2020-June</c:v>
                </c:pt>
                <c:pt idx="16">
                  <c:v>2020-July</c:v>
                </c:pt>
                <c:pt idx="17">
                  <c:v>2020-August</c:v>
                </c:pt>
                <c:pt idx="18">
                  <c:v>2020-September</c:v>
                </c:pt>
                <c:pt idx="19">
                  <c:v>2020-October</c:v>
                </c:pt>
                <c:pt idx="20">
                  <c:v>2020-November</c:v>
                </c:pt>
                <c:pt idx="21">
                  <c:v>2020-December</c:v>
                </c:pt>
                <c:pt idx="22">
                  <c:v>2021-January</c:v>
                </c:pt>
                <c:pt idx="23">
                  <c:v>2021-February</c:v>
                </c:pt>
                <c:pt idx="24">
                  <c:v>2021-March</c:v>
                </c:pt>
              </c:strCache>
            </c:strRef>
          </c:cat>
          <c:val>
            <c:numRef>
              <c:f>'PROBLEM STATEMENT 4'!$B$41:$B$65</c:f>
              <c:numCache>
                <c:formatCode>General</c:formatCode>
                <c:ptCount val="25"/>
                <c:pt idx="0">
                  <c:v>138.1</c:v>
                </c:pt>
                <c:pt idx="1">
                  <c:v>140.9</c:v>
                </c:pt>
                <c:pt idx="2">
                  <c:v>142.69999999999999</c:v>
                </c:pt>
                <c:pt idx="3">
                  <c:v>144.69999999999999</c:v>
                </c:pt>
                <c:pt idx="4">
                  <c:v>145.9</c:v>
                </c:pt>
                <c:pt idx="5">
                  <c:v>147</c:v>
                </c:pt>
                <c:pt idx="6">
                  <c:v>149.6</c:v>
                </c:pt>
                <c:pt idx="7">
                  <c:v>151.9</c:v>
                </c:pt>
                <c:pt idx="8">
                  <c:v>155</c:v>
                </c:pt>
                <c:pt idx="9">
                  <c:v>153.5</c:v>
                </c:pt>
                <c:pt idx="10">
                  <c:v>150.5</c:v>
                </c:pt>
                <c:pt idx="12">
                  <c:v>148.9</c:v>
                </c:pt>
                <c:pt idx="13">
                  <c:v>151.4</c:v>
                </c:pt>
                <c:pt idx="14">
                  <c:v>156.5</c:v>
                </c:pt>
                <c:pt idx="15">
                  <c:v>154</c:v>
                </c:pt>
                <c:pt idx="16">
                  <c:v>154</c:v>
                </c:pt>
                <c:pt idx="17">
                  <c:v>157</c:v>
                </c:pt>
                <c:pt idx="18">
                  <c:v>158</c:v>
                </c:pt>
                <c:pt idx="19">
                  <c:v>161.4</c:v>
                </c:pt>
                <c:pt idx="20">
                  <c:v>164.7</c:v>
                </c:pt>
                <c:pt idx="21">
                  <c:v>165.4</c:v>
                </c:pt>
                <c:pt idx="22">
                  <c:v>161</c:v>
                </c:pt>
                <c:pt idx="23">
                  <c:v>156.9</c:v>
                </c:pt>
                <c:pt idx="24">
                  <c:v>156.69999999999999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2-43FE-A40A-104D812FB187}"/>
            </c:ext>
          </c:extLst>
        </c:ser>
        <c:ser>
          <c:idx val="1"/>
          <c:order val="1"/>
          <c:tx>
            <c:strRef>
              <c:f>'PROBLEM STATEMENT 4'!$C$40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4'!$A$41:$A$65</c:f>
              <c:strCache>
                <c:ptCount val="25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  <c:pt idx="12">
                  <c:v>2020-March</c:v>
                </c:pt>
                <c:pt idx="13">
                  <c:v>2020-April</c:v>
                </c:pt>
                <c:pt idx="14">
                  <c:v>2020-May</c:v>
                </c:pt>
                <c:pt idx="15">
                  <c:v>2020-June</c:v>
                </c:pt>
                <c:pt idx="16">
                  <c:v>2020-July</c:v>
                </c:pt>
                <c:pt idx="17">
                  <c:v>2020-August</c:v>
                </c:pt>
                <c:pt idx="18">
                  <c:v>2020-September</c:v>
                </c:pt>
                <c:pt idx="19">
                  <c:v>2020-October</c:v>
                </c:pt>
                <c:pt idx="20">
                  <c:v>2020-November</c:v>
                </c:pt>
                <c:pt idx="21">
                  <c:v>2020-December</c:v>
                </c:pt>
                <c:pt idx="22">
                  <c:v>2021-January</c:v>
                </c:pt>
                <c:pt idx="23">
                  <c:v>2021-February</c:v>
                </c:pt>
                <c:pt idx="24">
                  <c:v>2021-March</c:v>
                </c:pt>
              </c:strCache>
            </c:strRef>
          </c:cat>
          <c:val>
            <c:numRef>
              <c:f>'PROBLEM STATEMENT 4'!$C$41:$C$65</c:f>
              <c:numCache>
                <c:formatCode>General</c:formatCode>
                <c:ptCount val="25"/>
                <c:pt idx="0">
                  <c:v>146.19999999999999</c:v>
                </c:pt>
                <c:pt idx="1">
                  <c:v>146.9</c:v>
                </c:pt>
                <c:pt idx="2">
                  <c:v>147.4</c:v>
                </c:pt>
                <c:pt idx="3">
                  <c:v>147.9</c:v>
                </c:pt>
                <c:pt idx="4">
                  <c:v>148.5</c:v>
                </c:pt>
                <c:pt idx="5">
                  <c:v>149</c:v>
                </c:pt>
                <c:pt idx="6">
                  <c:v>149.4</c:v>
                </c:pt>
                <c:pt idx="7">
                  <c:v>149.9</c:v>
                </c:pt>
                <c:pt idx="8">
                  <c:v>150.4</c:v>
                </c:pt>
                <c:pt idx="9">
                  <c:v>151.19999999999999</c:v>
                </c:pt>
                <c:pt idx="10">
                  <c:v>151.69999999999999</c:v>
                </c:pt>
                <c:pt idx="12">
                  <c:v>152.30000000000001</c:v>
                </c:pt>
                <c:pt idx="13">
                  <c:v>150.69999999999999</c:v>
                </c:pt>
                <c:pt idx="14">
                  <c:v>153.4</c:v>
                </c:pt>
                <c:pt idx="15">
                  <c:v>154.4</c:v>
                </c:pt>
                <c:pt idx="16">
                  <c:v>154.4</c:v>
                </c:pt>
                <c:pt idx="17">
                  <c:v>155</c:v>
                </c:pt>
                <c:pt idx="18">
                  <c:v>155.6</c:v>
                </c:pt>
                <c:pt idx="19">
                  <c:v>156.30000000000001</c:v>
                </c:pt>
                <c:pt idx="20">
                  <c:v>157.19999999999999</c:v>
                </c:pt>
                <c:pt idx="21">
                  <c:v>158.30000000000001</c:v>
                </c:pt>
                <c:pt idx="22">
                  <c:v>159.30000000000001</c:v>
                </c:pt>
                <c:pt idx="23">
                  <c:v>161.30000000000001</c:v>
                </c:pt>
                <c:pt idx="24">
                  <c:v>161.69999999999999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12-43FE-A40A-104D812FB187}"/>
            </c:ext>
          </c:extLst>
        </c:ser>
        <c:ser>
          <c:idx val="2"/>
          <c:order val="2"/>
          <c:tx>
            <c:strRef>
              <c:f>'PROBLEM STATEMENT 4'!$D$40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'PROBLEM STATEMENT 4'!$A$41:$A$65</c:f>
              <c:strCache>
                <c:ptCount val="25"/>
                <c:pt idx="0">
                  <c:v>2019-March</c:v>
                </c:pt>
                <c:pt idx="1">
                  <c:v>2019-May</c:v>
                </c:pt>
                <c:pt idx="2">
                  <c:v>2019-June</c:v>
                </c:pt>
                <c:pt idx="3">
                  <c:v>2019-July</c:v>
                </c:pt>
                <c:pt idx="4">
                  <c:v>2019-August</c:v>
                </c:pt>
                <c:pt idx="5">
                  <c:v>2019-September</c:v>
                </c:pt>
                <c:pt idx="6">
                  <c:v>2019-October</c:v>
                </c:pt>
                <c:pt idx="7">
                  <c:v>2019-November</c:v>
                </c:pt>
                <c:pt idx="8">
                  <c:v>2019-December</c:v>
                </c:pt>
                <c:pt idx="9">
                  <c:v>2020-January</c:v>
                </c:pt>
                <c:pt idx="10">
                  <c:v>2020-February</c:v>
                </c:pt>
                <c:pt idx="12">
                  <c:v>2020-March</c:v>
                </c:pt>
                <c:pt idx="13">
                  <c:v>2020-April</c:v>
                </c:pt>
                <c:pt idx="14">
                  <c:v>2020-May</c:v>
                </c:pt>
                <c:pt idx="15">
                  <c:v>2020-June</c:v>
                </c:pt>
                <c:pt idx="16">
                  <c:v>2020-July</c:v>
                </c:pt>
                <c:pt idx="17">
                  <c:v>2020-August</c:v>
                </c:pt>
                <c:pt idx="18">
                  <c:v>2020-September</c:v>
                </c:pt>
                <c:pt idx="19">
                  <c:v>2020-October</c:v>
                </c:pt>
                <c:pt idx="20">
                  <c:v>2020-November</c:v>
                </c:pt>
                <c:pt idx="21">
                  <c:v>2020-December</c:v>
                </c:pt>
                <c:pt idx="22">
                  <c:v>2021-January</c:v>
                </c:pt>
                <c:pt idx="23">
                  <c:v>2021-February</c:v>
                </c:pt>
                <c:pt idx="24">
                  <c:v>2021-March</c:v>
                </c:pt>
              </c:strCache>
            </c:strRef>
          </c:cat>
          <c:val>
            <c:numRef>
              <c:f>'PROBLEM STATEMENT 4'!$D$41:$D$65</c:f>
              <c:numCache>
                <c:formatCode>General</c:formatCode>
                <c:ptCount val="25"/>
                <c:pt idx="0">
                  <c:v>140.4</c:v>
                </c:pt>
                <c:pt idx="1">
                  <c:v>142</c:v>
                </c:pt>
                <c:pt idx="2">
                  <c:v>142.9</c:v>
                </c:pt>
                <c:pt idx="3">
                  <c:v>144.19999999999999</c:v>
                </c:pt>
                <c:pt idx="4">
                  <c:v>145</c:v>
                </c:pt>
                <c:pt idx="5">
                  <c:v>145.80000000000001</c:v>
                </c:pt>
                <c:pt idx="6">
                  <c:v>147.19999999999999</c:v>
                </c:pt>
                <c:pt idx="7">
                  <c:v>148.6</c:v>
                </c:pt>
                <c:pt idx="8">
                  <c:v>150.4</c:v>
                </c:pt>
                <c:pt idx="9">
                  <c:v>150.19999999999999</c:v>
                </c:pt>
                <c:pt idx="10">
                  <c:v>149.1</c:v>
                </c:pt>
                <c:pt idx="12">
                  <c:v>148.6</c:v>
                </c:pt>
                <c:pt idx="13">
                  <c:v>153.30000000000001</c:v>
                </c:pt>
                <c:pt idx="14">
                  <c:v>153.30000000000001</c:v>
                </c:pt>
                <c:pt idx="15">
                  <c:v>151.80000000000001</c:v>
                </c:pt>
                <c:pt idx="16">
                  <c:v>151.80000000000001</c:v>
                </c:pt>
                <c:pt idx="17">
                  <c:v>153.9</c:v>
                </c:pt>
                <c:pt idx="18">
                  <c:v>154.69999999999999</c:v>
                </c:pt>
                <c:pt idx="19">
                  <c:v>156.4</c:v>
                </c:pt>
                <c:pt idx="20">
                  <c:v>158.4</c:v>
                </c:pt>
                <c:pt idx="21">
                  <c:v>158.9</c:v>
                </c:pt>
                <c:pt idx="22">
                  <c:v>157.30000000000001</c:v>
                </c:pt>
                <c:pt idx="23">
                  <c:v>156.6</c:v>
                </c:pt>
                <c:pt idx="24">
                  <c:v>156.80000000000001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12-43FE-A40A-104D812FB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843232"/>
        <c:axId val="1067836992"/>
      </c:lineChart>
      <c:catAx>
        <c:axId val="10678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36992"/>
        <c:crosses val="autoZero"/>
        <c:auto val="1"/>
        <c:lblAlgn val="ctr"/>
        <c:lblOffset val="100"/>
        <c:noMultiLvlLbl val="0"/>
      </c:catAx>
      <c:valAx>
        <c:axId val="106783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4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 4'!$B$68</c:f>
              <c:strCache>
                <c:ptCount val="1"/>
                <c:pt idx="0">
                  <c:v>Pre-Covid Increase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 4'!$A$69:$A$71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General Index</c:v>
                </c:pt>
              </c:strCache>
            </c:strRef>
          </c:cat>
          <c:val>
            <c:numRef>
              <c:f>'PROBLEM STATEMENT 4'!$B$69:$B$71</c:f>
              <c:numCache>
                <c:formatCode>0.00%</c:formatCode>
                <c:ptCount val="3"/>
                <c:pt idx="0">
                  <c:v>0.09</c:v>
                </c:pt>
                <c:pt idx="1">
                  <c:v>3.7999999999999999E-2</c:v>
                </c:pt>
                <c:pt idx="2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0-461A-AF45-7EF6EB1F905D}"/>
            </c:ext>
          </c:extLst>
        </c:ser>
        <c:ser>
          <c:idx val="1"/>
          <c:order val="1"/>
          <c:tx>
            <c:strRef>
              <c:f>'PROBLEM STATEMENT 4'!$C$68</c:f>
              <c:strCache>
                <c:ptCount val="1"/>
                <c:pt idx="0">
                  <c:v>Post-Covid Increase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 4'!$A$69:$A$71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General Index</c:v>
                </c:pt>
              </c:strCache>
            </c:strRef>
          </c:cat>
          <c:val>
            <c:numRef>
              <c:f>'PROBLEM STATEMENT 4'!$C$69:$C$71</c:f>
              <c:numCache>
                <c:formatCode>0.00%</c:formatCode>
                <c:ptCount val="3"/>
                <c:pt idx="0">
                  <c:v>5.1999999999999998E-2</c:v>
                </c:pt>
                <c:pt idx="1">
                  <c:v>6.2E-2</c:v>
                </c:pt>
                <c:pt idx="2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0-461A-AF45-7EF6EB1F90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4451424"/>
        <c:axId val="994469184"/>
      </c:barChart>
      <c:catAx>
        <c:axId val="99445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69184"/>
        <c:crosses val="autoZero"/>
        <c:auto val="1"/>
        <c:lblAlgn val="ctr"/>
        <c:lblOffset val="100"/>
        <c:noMultiLvlLbl val="0"/>
      </c:catAx>
      <c:valAx>
        <c:axId val="99446918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5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CPI (Jan 2021 to May 2023) (Rural + 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67-4C9E-987C-7C63D7A2B2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67-4C9E-987C-7C63D7A2B2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E2-4027-8FEB-A75BC86F832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67-4C9E-987C-7C63D7A2B2B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67-4C9E-987C-7C63D7A2B2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 STATEMENT 5'!$B$2:$F$2</c:f>
              <c:strCache>
                <c:ptCount val="5"/>
                <c:pt idx="0">
                  <c:v>Food and beverages</c:v>
                </c:pt>
                <c:pt idx="1">
                  <c:v>Fuel and light</c:v>
                </c:pt>
                <c:pt idx="2">
                  <c:v>Health</c:v>
                </c:pt>
                <c:pt idx="3">
                  <c:v>Transport and communication</c:v>
                </c:pt>
                <c:pt idx="4">
                  <c:v>Imported Crude Oil</c:v>
                </c:pt>
              </c:strCache>
            </c:strRef>
          </c:cat>
          <c:val>
            <c:numRef>
              <c:f>'PROBLEM STATEMENT 5'!$B$32:$F$32</c:f>
              <c:numCache>
                <c:formatCode>0.00</c:formatCode>
                <c:ptCount val="5"/>
                <c:pt idx="0">
                  <c:v>169.79655172413797</c:v>
                </c:pt>
                <c:pt idx="1">
                  <c:v>169.68275862068964</c:v>
                </c:pt>
                <c:pt idx="2">
                  <c:v>173.20689655172413</c:v>
                </c:pt>
                <c:pt idx="3">
                  <c:v>157.27931034482759</c:v>
                </c:pt>
                <c:pt idx="4">
                  <c:v>114.26896551724137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2-4027-8FEB-A75BC86F8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57150</xdr:rowOff>
    </xdr:from>
    <xdr:to>
      <xdr:col>14</xdr:col>
      <xdr:colOff>0</xdr:colOff>
      <xdr:row>63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664D62-1318-7BFA-35AF-553861A48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87630</xdr:rowOff>
    </xdr:from>
    <xdr:to>
      <xdr:col>14</xdr:col>
      <xdr:colOff>533400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65A0D-BBD2-9510-EB43-9E7113001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388620</xdr:colOff>
      <xdr:row>43</xdr:row>
      <xdr:rowOff>144780</xdr:rowOff>
    </xdr:from>
    <xdr:to>
      <xdr:col>1</xdr:col>
      <xdr:colOff>937260</xdr:colOff>
      <xdr:row>45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B3F6EE8-900F-8593-4112-478AFB3E8D41}"/>
            </a:ext>
          </a:extLst>
        </xdr:cNvPr>
        <xdr:cNvSpPr/>
      </xdr:nvSpPr>
      <xdr:spPr>
        <a:xfrm>
          <a:off x="1386840" y="8145780"/>
          <a:ext cx="548640" cy="31242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41</xdr:row>
      <xdr:rowOff>147247</xdr:rowOff>
    </xdr:from>
    <xdr:to>
      <xdr:col>7</xdr:col>
      <xdr:colOff>861060</xdr:colOff>
      <xdr:row>63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EB327B-27E9-8C53-289B-1AF5C14A9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83127</xdr:colOff>
      <xdr:row>1</xdr:row>
      <xdr:rowOff>0</xdr:rowOff>
    </xdr:from>
    <xdr:to>
      <xdr:col>6</xdr:col>
      <xdr:colOff>1722120</xdr:colOff>
      <xdr:row>16</xdr:row>
      <xdr:rowOff>822959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44604-A13F-B16E-32C4-4D6D7770B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1844040</xdr:colOff>
      <xdr:row>1</xdr:row>
      <xdr:rowOff>0</xdr:rowOff>
    </xdr:from>
    <xdr:to>
      <xdr:col>10</xdr:col>
      <xdr:colOff>251460</xdr:colOff>
      <xdr:row>16</xdr:row>
      <xdr:rowOff>822960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881F8F-3A6F-3152-7FB9-17B2F394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83820</xdr:colOff>
      <xdr:row>19</xdr:row>
      <xdr:rowOff>0</xdr:rowOff>
    </xdr:from>
    <xdr:to>
      <xdr:col>7</xdr:col>
      <xdr:colOff>518160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CB02B2-9AA5-DD9F-25F5-46038F14B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642158</xdr:colOff>
      <xdr:row>18</xdr:row>
      <xdr:rowOff>209551</xdr:rowOff>
    </xdr:from>
    <xdr:to>
      <xdr:col>10</xdr:col>
      <xdr:colOff>434340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27A56F-BF33-A38C-16BC-78DFBA756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121920</xdr:colOff>
      <xdr:row>39</xdr:row>
      <xdr:rowOff>26670</xdr:rowOff>
    </xdr:from>
    <xdr:to>
      <xdr:col>11</xdr:col>
      <xdr:colOff>22860</xdr:colOff>
      <xdr:row>65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9D0438-5FBF-096D-CA06-50F742AE5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106680</xdr:colOff>
      <xdr:row>65</xdr:row>
      <xdr:rowOff>80010</xdr:rowOff>
    </xdr:from>
    <xdr:to>
      <xdr:col>7</xdr:col>
      <xdr:colOff>2049780</xdr:colOff>
      <xdr:row>71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50C8A43-3360-974F-ED97-11F95206A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15240</xdr:rowOff>
    </xdr:from>
    <xdr:to>
      <xdr:col>21</xdr:col>
      <xdr:colOff>7620</xdr:colOff>
      <xdr:row>25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A14C02-F6F4-F323-8F63-3079F9A46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7F49A2-ED61-4908-9412-0B5944762FCD}" autoFormatId="16" applyNumberFormats="0" applyBorderFormats="0" applyFontFormats="0" applyPatternFormats="0" applyAlignmentFormats="0" applyWidthHeightFormats="0">
  <queryTableRefresh nextId="33">
    <queryTableFields count="31">
      <queryTableField id="1" name="Sector" tableColumnId="1"/>
      <queryTableField id="2" name="Year" tableColumnId="2"/>
      <queryTableField id="3" name="Month" tableColumnId="3"/>
      <queryTableField id="31" dataBound="0" tableColumnId="31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67825-A25C-4669-A02D-5DAFFFAB2FC2}" name="All_India_Index_Upto_April23__1___1" displayName="All_India_Index_Upto_April23__1___1" ref="A1:AE373" tableType="queryTable" totalsRowShown="0" headerRowDxfId="7">
  <autoFilter ref="A1:AE373" xr:uid="{58767825-A25C-4669-A02D-5DAFFFAB2FC2}"/>
  <tableColumns count="31">
    <tableColumn id="1" xr3:uid="{AF2829C6-0274-4E94-B09B-41F188E8F43E}" uniqueName="1" name="Sector" queryTableFieldId="1" dataDxfId="6"/>
    <tableColumn id="2" xr3:uid="{5F32B208-3CCE-467F-8E26-E76F036A2CAE}" uniqueName="2" name="Year" queryTableFieldId="2" dataDxfId="5"/>
    <tableColumn id="3" xr3:uid="{A9189796-5096-4BD0-9978-1C07BA78B81A}" uniqueName="3" name="Month" queryTableFieldId="3" dataDxfId="4"/>
    <tableColumn id="31" xr3:uid="{4FC4A133-6D3C-45B4-A3C0-1F3698CC84FB}" uniqueName="31" name="Year-Month" queryTableFieldId="31" dataDxfId="3">
      <calculatedColumnFormula>_xlfn.CONCAT(All_India_Index_Upto_April23__1___1[[#This Row],[Year]],"-",All_India_Index_Upto_April23__1___1[[#This Row],[Month]])</calculatedColumnFormula>
    </tableColumn>
    <tableColumn id="4" xr3:uid="{6AA95F42-794C-418D-BE73-3EF72F9AA154}" uniqueName="4" name="Cereals and products" queryTableFieldId="4"/>
    <tableColumn id="5" xr3:uid="{F34BE034-4676-46A5-B6FA-DE3E57F9F1FD}" uniqueName="5" name="Meat and fish" queryTableFieldId="5"/>
    <tableColumn id="6" xr3:uid="{0392AC74-85ED-414F-BD02-25E101093994}" uniqueName="6" name="Egg" queryTableFieldId="6"/>
    <tableColumn id="7" xr3:uid="{5F8F350A-8B00-456E-B810-C895E4309AC5}" uniqueName="7" name="Milk and products" queryTableFieldId="7"/>
    <tableColumn id="8" xr3:uid="{DE7C5680-AFF1-49B9-B4C1-DEC82E4CBB95}" uniqueName="8" name="Oils and fats" queryTableFieldId="8"/>
    <tableColumn id="9" xr3:uid="{056C92FB-F05F-4AE1-896B-70BFAB6EBA25}" uniqueName="9" name="Fruits" queryTableFieldId="9"/>
    <tableColumn id="10" xr3:uid="{1CDCDD7D-43E3-46B2-BE0F-6B2394D77C92}" uniqueName="10" name="Vegetables" queryTableFieldId="10"/>
    <tableColumn id="11" xr3:uid="{01D88597-13B2-4F0F-87CA-290925501EC5}" uniqueName="11" name="Pulses and products" queryTableFieldId="11"/>
    <tableColumn id="12" xr3:uid="{A90EB76C-8AE5-4A68-90EA-85F2B378086A}" uniqueName="12" name="Sugar and Confectionery" queryTableFieldId="12"/>
    <tableColumn id="13" xr3:uid="{FC3D9A43-1CE9-4EB7-93D5-0492F6120663}" uniqueName="13" name="Spices" queryTableFieldId="13"/>
    <tableColumn id="14" xr3:uid="{BF7E6C13-EE5F-4CE2-9AF8-38E3B22AD94D}" uniqueName="14" name="Non-alcoholic beverages" queryTableFieldId="14"/>
    <tableColumn id="15" xr3:uid="{B314283A-219B-4FC5-8CC8-E4912DA63DBB}" uniqueName="15" name="Prepared meals, snacks, sweets etc." queryTableFieldId="15"/>
    <tableColumn id="16" xr3:uid="{73A58361-EFB3-46E4-964A-578A28B6B20F}" uniqueName="16" name="Food and beverages" queryTableFieldId="16"/>
    <tableColumn id="17" xr3:uid="{2769C494-F322-4B4A-8E67-E1358FFF9F15}" uniqueName="17" name="Pan, tobacco and intoxicants" queryTableFieldId="17"/>
    <tableColumn id="18" xr3:uid="{F62DC809-90D0-4CC1-A576-0C2A6BA868ED}" uniqueName="18" name="Clothing" queryTableFieldId="18"/>
    <tableColumn id="19" xr3:uid="{B8AD2290-4743-4B0F-9E8D-07EEBDDB3F28}" uniqueName="19" name="Footwear" queryTableFieldId="19"/>
    <tableColumn id="20" xr3:uid="{61EC3226-D06C-4B96-B78B-7E8ABE3EFF6B}" uniqueName="20" name="Clothing and footwear" queryTableFieldId="20"/>
    <tableColumn id="21" xr3:uid="{4076D1B9-40CE-4AF9-944D-C61776A5F039}" uniqueName="21" name="Housing" queryTableFieldId="21" dataDxfId="2"/>
    <tableColumn id="22" xr3:uid="{3BF8C615-1086-40F2-836F-9EDD0FDC64D0}" uniqueName="22" name="Fuel and light" queryTableFieldId="22"/>
    <tableColumn id="23" xr3:uid="{A165A755-70AA-4CDE-86B7-B98125170613}" uniqueName="23" name="Household goods and services" queryTableFieldId="23"/>
    <tableColumn id="24" xr3:uid="{867B28F7-BB1A-461B-9B43-E45B9685430B}" uniqueName="24" name="Health" queryTableFieldId="24"/>
    <tableColumn id="25" xr3:uid="{AD63D990-A1DA-4B74-8456-5E6DC5C5C5B5}" uniqueName="25" name="Transport and communication" queryTableFieldId="25"/>
    <tableColumn id="26" xr3:uid="{C5B56E90-BEE3-4D2F-B805-8D431C1AC44F}" uniqueName="26" name="Recreation and amusement" queryTableFieldId="26"/>
    <tableColumn id="27" xr3:uid="{C6490BBE-0FD5-456C-A09D-F6468F9681DD}" uniqueName="27" name="Education" queryTableFieldId="27"/>
    <tableColumn id="28" xr3:uid="{2570D3D3-072E-4CF9-B713-E146FDDBB247}" uniqueName="28" name="Personal care and effects" queryTableFieldId="28"/>
    <tableColumn id="29" xr3:uid="{DC7332E1-B768-4CFA-9756-7B67489F4DAA}" uniqueName="29" name="Miscellaneous" queryTableFieldId="29"/>
    <tableColumn id="30" xr3:uid="{6EB7CCED-777C-450D-BE53-331F34A2783B}" uniqueName="30" name="General index" queryTableFieldId="3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E7BE-26CA-44C5-ACFA-49B1B1EF514C}">
  <dimension ref="A1:AE373"/>
  <sheetViews>
    <sheetView topLeftCell="Y1" workbookViewId="0">
      <selection activeCell="C1" sqref="C1:AE1"/>
    </sheetView>
  </sheetViews>
  <sheetFormatPr defaultRowHeight="14.4" x14ac:dyDescent="0.3"/>
  <cols>
    <col min="1" max="1" width="13.109375" bestFit="1" customWidth="1"/>
    <col min="2" max="2" width="10.6640625" bestFit="1" customWidth="1"/>
    <col min="3" max="3" width="12.77734375" bestFit="1" customWidth="1"/>
    <col min="4" max="4" width="19" bestFit="1" customWidth="1"/>
    <col min="5" max="5" width="30.77734375" bestFit="1" customWidth="1"/>
    <col min="6" max="6" width="21.21875" bestFit="1" customWidth="1"/>
    <col min="7" max="7" width="9.5546875" bestFit="1" customWidth="1"/>
    <col min="8" max="8" width="26.44140625" bestFit="1" customWidth="1"/>
    <col min="9" max="9" width="20.21875" bestFit="1" customWidth="1"/>
    <col min="10" max="10" width="12" bestFit="1" customWidth="1"/>
    <col min="11" max="11" width="18.6640625" bestFit="1" customWidth="1"/>
    <col min="12" max="12" width="29.44140625" bestFit="1" customWidth="1"/>
    <col min="13" max="13" width="34.5546875" bestFit="1" customWidth="1"/>
    <col min="14" max="14" width="13.33203125" bestFit="1" customWidth="1"/>
    <col min="15" max="15" width="35.109375" bestFit="1" customWidth="1"/>
    <col min="16" max="16" width="49.21875" bestFit="1" customWidth="1"/>
    <col min="17" max="17" width="28.88671875" bestFit="1" customWidth="1"/>
    <col min="18" max="18" width="39.77734375" bestFit="1" customWidth="1"/>
    <col min="19" max="19" width="15.21875" bestFit="1" customWidth="1"/>
    <col min="20" max="20" width="16.33203125" bestFit="1" customWidth="1"/>
    <col min="21" max="21" width="31.5546875" bestFit="1" customWidth="1"/>
    <col min="22" max="22" width="15" bestFit="1" customWidth="1"/>
    <col min="23" max="23" width="21.109375" bestFit="1" customWidth="1"/>
    <col min="24" max="24" width="41.5546875" bestFit="1" customWidth="1"/>
    <col min="25" max="25" width="13.33203125" bestFit="1" customWidth="1"/>
    <col min="26" max="26" width="40.88671875" bestFit="1" customWidth="1"/>
    <col min="27" max="27" width="38.21875" bestFit="1" customWidth="1"/>
    <col min="28" max="28" width="17.109375" bestFit="1" customWidth="1"/>
    <col min="29" max="29" width="35.88671875" bestFit="1" customWidth="1"/>
    <col min="30" max="30" width="22.77734375" bestFit="1" customWidth="1"/>
    <col min="31" max="31" width="21.77734375" bestFit="1" customWidth="1"/>
  </cols>
  <sheetData>
    <row r="1" spans="1:31" s="2" customFormat="1" x14ac:dyDescent="0.3">
      <c r="A1" s="3" t="s">
        <v>37</v>
      </c>
      <c r="B1" s="3" t="s">
        <v>34</v>
      </c>
      <c r="C1" s="3" t="s">
        <v>38</v>
      </c>
      <c r="D1" s="3" t="s">
        <v>62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39</v>
      </c>
      <c r="N1" s="3" t="s">
        <v>26</v>
      </c>
      <c r="O1" s="3" t="s">
        <v>27</v>
      </c>
      <c r="P1" s="3" t="s">
        <v>28</v>
      </c>
      <c r="Q1" s="3" t="s">
        <v>40</v>
      </c>
      <c r="R1" s="3" t="s">
        <v>4</v>
      </c>
      <c r="S1" s="3" t="s">
        <v>29</v>
      </c>
      <c r="T1" s="3" t="s">
        <v>30</v>
      </c>
      <c r="U1" s="3" t="s">
        <v>41</v>
      </c>
      <c r="V1" s="3" t="s">
        <v>7</v>
      </c>
      <c r="W1" s="3" t="s">
        <v>8</v>
      </c>
      <c r="X1" s="3" t="s">
        <v>42</v>
      </c>
      <c r="Y1" s="3" t="s">
        <v>10</v>
      </c>
      <c r="Z1" s="3" t="s">
        <v>43</v>
      </c>
      <c r="AA1" s="3" t="s">
        <v>44</v>
      </c>
      <c r="AB1" s="3" t="s">
        <v>13</v>
      </c>
      <c r="AC1" s="3" t="s">
        <v>15</v>
      </c>
      <c r="AD1" s="3" t="s">
        <v>16</v>
      </c>
      <c r="AE1" s="3" t="s">
        <v>45</v>
      </c>
    </row>
    <row r="2" spans="1:31" x14ac:dyDescent="0.3">
      <c r="A2" t="s">
        <v>46</v>
      </c>
      <c r="B2">
        <v>2013</v>
      </c>
      <c r="C2" t="s">
        <v>47</v>
      </c>
      <c r="D2" t="str">
        <f>_xlfn.CONCAT(All_India_Index_Upto_April23__1___1[[#This Row],[Year]],"-",All_India_Index_Upto_April23__1___1[[#This Row],[Month]])</f>
        <v>2013-January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v>105.1</v>
      </c>
      <c r="S2">
        <v>106.5</v>
      </c>
      <c r="T2">
        <v>105.8</v>
      </c>
      <c r="U2">
        <v>106.4</v>
      </c>
      <c r="V2" s="1">
        <v>100.3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</row>
    <row r="3" spans="1:31" x14ac:dyDescent="0.3">
      <c r="A3" t="s">
        <v>48</v>
      </c>
      <c r="B3">
        <v>2013</v>
      </c>
      <c r="C3" t="s">
        <v>47</v>
      </c>
      <c r="D3" t="str">
        <f>_xlfn.CONCAT(All_India_Index_Upto_April23__1___1[[#This Row],[Year]],"-",All_India_Index_Upto_April23__1___1[[#This Row],[Month]])</f>
        <v>2013-January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v>105.2</v>
      </c>
      <c r="S3">
        <v>105.9</v>
      </c>
      <c r="T3">
        <v>105</v>
      </c>
      <c r="U3">
        <v>105.8</v>
      </c>
      <c r="V3"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</row>
    <row r="4" spans="1:31" x14ac:dyDescent="0.3">
      <c r="A4" t="s">
        <v>49</v>
      </c>
      <c r="B4">
        <v>2013</v>
      </c>
      <c r="C4" t="s">
        <v>47</v>
      </c>
      <c r="D4" t="str">
        <f>_xlfn.CONCAT(All_India_Index_Upto_April23__1___1[[#This Row],[Year]],"-",All_India_Index_Upto_April23__1___1[[#This Row],[Month]])</f>
        <v>2013-January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v>105.1</v>
      </c>
      <c r="S4">
        <v>106.3</v>
      </c>
      <c r="T4">
        <v>105.5</v>
      </c>
      <c r="U4">
        <v>106.2</v>
      </c>
      <c r="V4"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</row>
    <row r="5" spans="1:31" x14ac:dyDescent="0.3">
      <c r="A5" t="s">
        <v>46</v>
      </c>
      <c r="B5">
        <v>2013</v>
      </c>
      <c r="C5" t="s">
        <v>50</v>
      </c>
      <c r="D5" t="str">
        <f>_xlfn.CONCAT(All_India_Index_Upto_April23__1___1[[#This Row],[Year]],"-",All_India_Index_Upto_April23__1___1[[#This Row],[Month]])</f>
        <v>2013-February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v>105.6</v>
      </c>
      <c r="S5">
        <v>107.1</v>
      </c>
      <c r="T5">
        <v>106.3</v>
      </c>
      <c r="U5">
        <v>107</v>
      </c>
      <c r="V5">
        <v>100.4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</row>
    <row r="6" spans="1:31" x14ac:dyDescent="0.3">
      <c r="A6" t="s">
        <v>48</v>
      </c>
      <c r="B6">
        <v>2013</v>
      </c>
      <c r="C6" t="s">
        <v>50</v>
      </c>
      <c r="D6" t="str">
        <f>_xlfn.CONCAT(All_India_Index_Upto_April23__1___1[[#This Row],[Year]],"-",All_India_Index_Upto_April23__1___1[[#This Row],[Month]])</f>
        <v>2013-February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v>106</v>
      </c>
      <c r="S6">
        <v>106.6</v>
      </c>
      <c r="T6">
        <v>105.5</v>
      </c>
      <c r="U6">
        <v>106.4</v>
      </c>
      <c r="V6"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</row>
    <row r="7" spans="1:31" x14ac:dyDescent="0.3">
      <c r="A7" t="s">
        <v>49</v>
      </c>
      <c r="B7">
        <v>2013</v>
      </c>
      <c r="C7" t="s">
        <v>50</v>
      </c>
      <c r="D7" t="str">
        <f>_xlfn.CONCAT(All_India_Index_Upto_April23__1___1[[#This Row],[Year]],"-",All_India_Index_Upto_April23__1___1[[#This Row],[Month]])</f>
        <v>2013-February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v>105.7</v>
      </c>
      <c r="S7">
        <v>106.9</v>
      </c>
      <c r="T7">
        <v>106</v>
      </c>
      <c r="U7">
        <v>106.8</v>
      </c>
      <c r="V7"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</row>
    <row r="8" spans="1:31" x14ac:dyDescent="0.3">
      <c r="A8" t="s">
        <v>46</v>
      </c>
      <c r="B8">
        <v>2013</v>
      </c>
      <c r="C8" t="s">
        <v>51</v>
      </c>
      <c r="D8" t="str">
        <f>_xlfn.CONCAT(All_India_Index_Upto_April23__1___1[[#This Row],[Year]],"-",All_India_Index_Upto_April23__1___1[[#This Row],[Month]])</f>
        <v>2013-March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v>106.5</v>
      </c>
      <c r="S8">
        <v>107.6</v>
      </c>
      <c r="T8">
        <v>106.8</v>
      </c>
      <c r="U8">
        <v>107.5</v>
      </c>
      <c r="V8">
        <v>100.4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</row>
    <row r="9" spans="1:31" x14ac:dyDescent="0.3">
      <c r="A9" t="s">
        <v>48</v>
      </c>
      <c r="B9">
        <v>2013</v>
      </c>
      <c r="C9" t="s">
        <v>51</v>
      </c>
      <c r="D9" t="str">
        <f>_xlfn.CONCAT(All_India_Index_Upto_April23__1___1[[#This Row],[Year]],"-",All_India_Index_Upto_April23__1___1[[#This Row],[Month]])</f>
        <v>2013-March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v>106.8</v>
      </c>
      <c r="S9">
        <v>107.2</v>
      </c>
      <c r="T9">
        <v>106</v>
      </c>
      <c r="U9">
        <v>107</v>
      </c>
      <c r="V9"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</row>
    <row r="10" spans="1:31" x14ac:dyDescent="0.3">
      <c r="A10" t="s">
        <v>49</v>
      </c>
      <c r="B10">
        <v>2013</v>
      </c>
      <c r="C10" t="s">
        <v>51</v>
      </c>
      <c r="D10" t="str">
        <f>_xlfn.CONCAT(All_India_Index_Upto_April23__1___1[[#This Row],[Year]],"-",All_India_Index_Upto_April23__1___1[[#This Row],[Month]])</f>
        <v>2013-March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v>106.6</v>
      </c>
      <c r="S10">
        <v>107.4</v>
      </c>
      <c r="T10">
        <v>106.5</v>
      </c>
      <c r="U10">
        <v>107.3</v>
      </c>
      <c r="V10"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</row>
    <row r="11" spans="1:31" x14ac:dyDescent="0.3">
      <c r="A11" t="s">
        <v>46</v>
      </c>
      <c r="B11">
        <v>2013</v>
      </c>
      <c r="C11" t="s">
        <v>52</v>
      </c>
      <c r="D11" t="str">
        <f>_xlfn.CONCAT(All_India_Index_Upto_April23__1___1[[#This Row],[Year]],"-",All_India_Index_Upto_April23__1___1[[#This Row],[Month]])</f>
        <v>2013-April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v>107.1</v>
      </c>
      <c r="S11">
        <v>108.1</v>
      </c>
      <c r="T11">
        <v>107.4</v>
      </c>
      <c r="U11">
        <v>108</v>
      </c>
      <c r="V11">
        <v>100.5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</row>
    <row r="12" spans="1:31" x14ac:dyDescent="0.3">
      <c r="A12" t="s">
        <v>48</v>
      </c>
      <c r="B12">
        <v>2013</v>
      </c>
      <c r="C12" t="s">
        <v>52</v>
      </c>
      <c r="D12" t="str">
        <f>_xlfn.CONCAT(All_India_Index_Upto_April23__1___1[[#This Row],[Year]],"-",All_India_Index_Upto_April23__1___1[[#This Row],[Month]])</f>
        <v>2013-April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v>108.5</v>
      </c>
      <c r="S12">
        <v>107.9</v>
      </c>
      <c r="T12">
        <v>106.4</v>
      </c>
      <c r="U12">
        <v>107.7</v>
      </c>
      <c r="V12"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</row>
    <row r="13" spans="1:31" x14ac:dyDescent="0.3">
      <c r="A13" t="s">
        <v>49</v>
      </c>
      <c r="B13">
        <v>2013</v>
      </c>
      <c r="C13" t="s">
        <v>52</v>
      </c>
      <c r="D13" t="str">
        <f>_xlfn.CONCAT(All_India_Index_Upto_April23__1___1[[#This Row],[Year]],"-",All_India_Index_Upto_April23__1___1[[#This Row],[Month]])</f>
        <v>2013-April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v>107.5</v>
      </c>
      <c r="S13">
        <v>108</v>
      </c>
      <c r="T13">
        <v>107</v>
      </c>
      <c r="U13">
        <v>107.9</v>
      </c>
      <c r="V13"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</row>
    <row r="14" spans="1:31" x14ac:dyDescent="0.3">
      <c r="A14" t="s">
        <v>46</v>
      </c>
      <c r="B14">
        <v>2013</v>
      </c>
      <c r="C14" t="s">
        <v>53</v>
      </c>
      <c r="D14" t="str">
        <f>_xlfn.CONCAT(All_India_Index_Upto_April23__1___1[[#This Row],[Year]],"-",All_India_Index_Upto_April23__1___1[[#This Row],[Month]])</f>
        <v>2013-May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v>108.1</v>
      </c>
      <c r="S14">
        <v>108.8</v>
      </c>
      <c r="T14">
        <v>107.9</v>
      </c>
      <c r="U14">
        <v>108.6</v>
      </c>
      <c r="V14">
        <v>100.5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</row>
    <row r="15" spans="1:31" x14ac:dyDescent="0.3">
      <c r="A15" t="s">
        <v>48</v>
      </c>
      <c r="B15">
        <v>2013</v>
      </c>
      <c r="C15" t="s">
        <v>53</v>
      </c>
      <c r="D15" t="str">
        <f>_xlfn.CONCAT(All_India_Index_Upto_April23__1___1[[#This Row],[Year]],"-",All_India_Index_Upto_April23__1___1[[#This Row],[Month]])</f>
        <v>2013-May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v>109.8</v>
      </c>
      <c r="S15">
        <v>108.5</v>
      </c>
      <c r="T15">
        <v>106.7</v>
      </c>
      <c r="U15">
        <v>108.3</v>
      </c>
      <c r="V15"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</row>
    <row r="16" spans="1:31" x14ac:dyDescent="0.3">
      <c r="A16" t="s">
        <v>49</v>
      </c>
      <c r="B16">
        <v>2013</v>
      </c>
      <c r="C16" t="s">
        <v>53</v>
      </c>
      <c r="D16" t="str">
        <f>_xlfn.CONCAT(All_India_Index_Upto_April23__1___1[[#This Row],[Year]],"-",All_India_Index_Upto_April23__1___1[[#This Row],[Month]])</f>
        <v>2013-May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v>108.6</v>
      </c>
      <c r="S16">
        <v>108.7</v>
      </c>
      <c r="T16">
        <v>107.4</v>
      </c>
      <c r="U16">
        <v>108.5</v>
      </c>
      <c r="V16"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</row>
    <row r="17" spans="1:31" x14ac:dyDescent="0.3">
      <c r="A17" t="s">
        <v>46</v>
      </c>
      <c r="B17">
        <v>2013</v>
      </c>
      <c r="C17" t="s">
        <v>54</v>
      </c>
      <c r="D17" t="str">
        <f>_xlfn.CONCAT(All_India_Index_Upto_April23__1___1[[#This Row],[Year]],"-",All_India_Index_Upto_April23__1___1[[#This Row],[Month]])</f>
        <v>2013-June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v>109</v>
      </c>
      <c r="S17">
        <v>109.7</v>
      </c>
      <c r="T17">
        <v>108.8</v>
      </c>
      <c r="U17">
        <v>109.5</v>
      </c>
      <c r="V17">
        <v>106.6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</row>
    <row r="18" spans="1:31" x14ac:dyDescent="0.3">
      <c r="A18" t="s">
        <v>48</v>
      </c>
      <c r="B18">
        <v>2013</v>
      </c>
      <c r="C18" t="s">
        <v>54</v>
      </c>
      <c r="D18" t="str">
        <f>_xlfn.CONCAT(All_India_Index_Upto_April23__1___1[[#This Row],[Year]],"-",All_India_Index_Upto_April23__1___1[[#This Row],[Month]])</f>
        <v>2013-June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v>110.9</v>
      </c>
      <c r="S18">
        <v>109.2</v>
      </c>
      <c r="T18">
        <v>107.2</v>
      </c>
      <c r="U18">
        <v>108.9</v>
      </c>
      <c r="V18"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</row>
    <row r="19" spans="1:31" x14ac:dyDescent="0.3">
      <c r="A19" t="s">
        <v>49</v>
      </c>
      <c r="B19">
        <v>2013</v>
      </c>
      <c r="C19" t="s">
        <v>54</v>
      </c>
      <c r="D19" t="str">
        <f>_xlfn.CONCAT(All_India_Index_Upto_April23__1___1[[#This Row],[Year]],"-",All_India_Index_Upto_April23__1___1[[#This Row],[Month]])</f>
        <v>2013-June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v>109.5</v>
      </c>
      <c r="S19">
        <v>109.5</v>
      </c>
      <c r="T19">
        <v>108.1</v>
      </c>
      <c r="U19">
        <v>109.3</v>
      </c>
      <c r="V19"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</row>
    <row r="20" spans="1:31" x14ac:dyDescent="0.3">
      <c r="A20" t="s">
        <v>46</v>
      </c>
      <c r="B20">
        <v>2013</v>
      </c>
      <c r="C20" t="s">
        <v>55</v>
      </c>
      <c r="D20" t="str">
        <f>_xlfn.CONCAT(All_India_Index_Upto_April23__1___1[[#This Row],[Year]],"-",All_India_Index_Upto_April23__1___1[[#This Row],[Month]])</f>
        <v>2013-July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v>109.8</v>
      </c>
      <c r="S20">
        <v>110.5</v>
      </c>
      <c r="T20">
        <v>109.5</v>
      </c>
      <c r="U20">
        <v>110.3</v>
      </c>
      <c r="V20">
        <v>107.7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</row>
    <row r="21" spans="1:31" x14ac:dyDescent="0.3">
      <c r="A21" t="s">
        <v>48</v>
      </c>
      <c r="B21">
        <v>2013</v>
      </c>
      <c r="C21" t="s">
        <v>55</v>
      </c>
      <c r="D21" t="str">
        <f>_xlfn.CONCAT(All_India_Index_Upto_April23__1___1[[#This Row],[Year]],"-",All_India_Index_Upto_April23__1___1[[#This Row],[Month]])</f>
        <v>2013-July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v>111.7</v>
      </c>
      <c r="S21">
        <v>109.8</v>
      </c>
      <c r="T21">
        <v>107.8</v>
      </c>
      <c r="U21">
        <v>109.5</v>
      </c>
      <c r="V21"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</row>
    <row r="22" spans="1:31" x14ac:dyDescent="0.3">
      <c r="A22" t="s">
        <v>49</v>
      </c>
      <c r="B22">
        <v>2013</v>
      </c>
      <c r="C22" t="s">
        <v>55</v>
      </c>
      <c r="D22" t="str">
        <f>_xlfn.CONCAT(All_India_Index_Upto_April23__1___1[[#This Row],[Year]],"-",All_India_Index_Upto_April23__1___1[[#This Row],[Month]])</f>
        <v>2013-July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v>110.3</v>
      </c>
      <c r="S22">
        <v>110.2</v>
      </c>
      <c r="T22">
        <v>108.8</v>
      </c>
      <c r="U22">
        <v>110</v>
      </c>
      <c r="V22"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</row>
    <row r="23" spans="1:31" x14ac:dyDescent="0.3">
      <c r="A23" t="s">
        <v>46</v>
      </c>
      <c r="B23">
        <v>2013</v>
      </c>
      <c r="C23" t="s">
        <v>56</v>
      </c>
      <c r="D23" t="str">
        <f>_xlfn.CONCAT(All_India_Index_Upto_April23__1___1[[#This Row],[Year]],"-",All_India_Index_Upto_April23__1___1[[#This Row],[Month]])</f>
        <v>2013-August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v>110.7</v>
      </c>
      <c r="S23">
        <v>111.3</v>
      </c>
      <c r="T23">
        <v>110.2</v>
      </c>
      <c r="U23">
        <v>111.1</v>
      </c>
      <c r="V23">
        <v>108.9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</row>
    <row r="24" spans="1:31" x14ac:dyDescent="0.3">
      <c r="A24" t="s">
        <v>48</v>
      </c>
      <c r="B24">
        <v>2013</v>
      </c>
      <c r="C24" t="s">
        <v>56</v>
      </c>
      <c r="D24" t="str">
        <f>_xlfn.CONCAT(All_India_Index_Upto_April23__1___1[[#This Row],[Year]],"-",All_India_Index_Upto_April23__1___1[[#This Row],[Month]])</f>
        <v>2013-August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v>112.4</v>
      </c>
      <c r="S24">
        <v>110.6</v>
      </c>
      <c r="T24">
        <v>108.3</v>
      </c>
      <c r="U24">
        <v>110.2</v>
      </c>
      <c r="V24"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</row>
    <row r="25" spans="1:31" x14ac:dyDescent="0.3">
      <c r="A25" t="s">
        <v>49</v>
      </c>
      <c r="B25">
        <v>2013</v>
      </c>
      <c r="C25" t="s">
        <v>56</v>
      </c>
      <c r="D25" t="str">
        <f>_xlfn.CONCAT(All_India_Index_Upto_April23__1___1[[#This Row],[Year]],"-",All_India_Index_Upto_April23__1___1[[#This Row],[Month]])</f>
        <v>2013-August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v>111.2</v>
      </c>
      <c r="S25">
        <v>111</v>
      </c>
      <c r="T25">
        <v>109.4</v>
      </c>
      <c r="U25">
        <v>110.7</v>
      </c>
      <c r="V25"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</row>
    <row r="26" spans="1:31" x14ac:dyDescent="0.3">
      <c r="A26" t="s">
        <v>46</v>
      </c>
      <c r="B26">
        <v>2013</v>
      </c>
      <c r="C26" t="s">
        <v>57</v>
      </c>
      <c r="D26" t="str">
        <f>_xlfn.CONCAT(All_India_Index_Upto_April23__1___1[[#This Row],[Year]],"-",All_India_Index_Upto_April23__1___1[[#This Row],[Month]])</f>
        <v>2013-September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v>111.7</v>
      </c>
      <c r="S26">
        <v>112.7</v>
      </c>
      <c r="T26">
        <v>111.4</v>
      </c>
      <c r="U26">
        <v>112.5</v>
      </c>
      <c r="V26">
        <v>109.7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</row>
    <row r="27" spans="1:31" x14ac:dyDescent="0.3">
      <c r="A27" t="s">
        <v>48</v>
      </c>
      <c r="B27">
        <v>2013</v>
      </c>
      <c r="C27" t="s">
        <v>57</v>
      </c>
      <c r="D27" t="str">
        <f>_xlfn.CONCAT(All_India_Index_Upto_April23__1___1[[#This Row],[Year]],"-",All_India_Index_Upto_April23__1___1[[#This Row],[Month]])</f>
        <v>2013-September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v>112.9</v>
      </c>
      <c r="S27">
        <v>111.4</v>
      </c>
      <c r="T27">
        <v>109</v>
      </c>
      <c r="U27">
        <v>111.1</v>
      </c>
      <c r="V27"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</row>
    <row r="28" spans="1:31" x14ac:dyDescent="0.3">
      <c r="A28" t="s">
        <v>49</v>
      </c>
      <c r="B28">
        <v>2013</v>
      </c>
      <c r="C28" t="s">
        <v>57</v>
      </c>
      <c r="D28" t="str">
        <f>_xlfn.CONCAT(All_India_Index_Upto_April23__1___1[[#This Row],[Year]],"-",All_India_Index_Upto_April23__1___1[[#This Row],[Month]])</f>
        <v>2013-September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v>112</v>
      </c>
      <c r="S28">
        <v>112.2</v>
      </c>
      <c r="T28">
        <v>110.4</v>
      </c>
      <c r="U28">
        <v>111.9</v>
      </c>
      <c r="V28"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</row>
    <row r="29" spans="1:31" x14ac:dyDescent="0.3">
      <c r="A29" t="s">
        <v>46</v>
      </c>
      <c r="B29">
        <v>2013</v>
      </c>
      <c r="C29" t="s">
        <v>58</v>
      </c>
      <c r="D29" t="str">
        <f>_xlfn.CONCAT(All_India_Index_Upto_April23__1___1[[#This Row],[Year]],"-",All_India_Index_Upto_April23__1___1[[#This Row],[Month]])</f>
        <v>2013-October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v>112.2</v>
      </c>
      <c r="S29">
        <v>113.6</v>
      </c>
      <c r="T29">
        <v>112.3</v>
      </c>
      <c r="U29">
        <v>113.4</v>
      </c>
      <c r="V29">
        <v>110.5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</row>
    <row r="30" spans="1:31" x14ac:dyDescent="0.3">
      <c r="A30" t="s">
        <v>48</v>
      </c>
      <c r="B30">
        <v>2013</v>
      </c>
      <c r="C30" t="s">
        <v>58</v>
      </c>
      <c r="D30" t="str">
        <f>_xlfn.CONCAT(All_India_Index_Upto_April23__1___1[[#This Row],[Year]],"-",All_India_Index_Upto_April23__1___1[[#This Row],[Month]])</f>
        <v>2013-October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v>113.5</v>
      </c>
      <c r="S30">
        <v>112.5</v>
      </c>
      <c r="T30">
        <v>109.7</v>
      </c>
      <c r="U30">
        <v>112</v>
      </c>
      <c r="V30"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</row>
    <row r="31" spans="1:31" x14ac:dyDescent="0.3">
      <c r="A31" t="s">
        <v>49</v>
      </c>
      <c r="B31">
        <v>2013</v>
      </c>
      <c r="C31" t="s">
        <v>58</v>
      </c>
      <c r="D31" t="str">
        <f>_xlfn.CONCAT(All_India_Index_Upto_April23__1___1[[#This Row],[Year]],"-",All_India_Index_Upto_April23__1___1[[#This Row],[Month]])</f>
        <v>2013-October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v>112.5</v>
      </c>
      <c r="S31">
        <v>113.2</v>
      </c>
      <c r="T31">
        <v>111.2</v>
      </c>
      <c r="U31">
        <v>112.8</v>
      </c>
      <c r="V31"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</row>
    <row r="32" spans="1:31" x14ac:dyDescent="0.3">
      <c r="A32" t="s">
        <v>46</v>
      </c>
      <c r="B32">
        <v>2013</v>
      </c>
      <c r="C32" t="s">
        <v>59</v>
      </c>
      <c r="D32" t="str">
        <f>_xlfn.CONCAT(All_India_Index_Upto_April23__1___1[[#This Row],[Year]],"-",All_India_Index_Upto_April23__1___1[[#This Row],[Month]])</f>
        <v xml:space="preserve">2013-November 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v>112.8</v>
      </c>
      <c r="S32">
        <v>114.6</v>
      </c>
      <c r="T32">
        <v>113.1</v>
      </c>
      <c r="U32">
        <v>114.4</v>
      </c>
      <c r="V32">
        <v>111.1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</row>
    <row r="33" spans="1:31" x14ac:dyDescent="0.3">
      <c r="A33" t="s">
        <v>48</v>
      </c>
      <c r="B33">
        <v>2013</v>
      </c>
      <c r="C33" t="s">
        <v>60</v>
      </c>
      <c r="D33" t="str">
        <f>_xlfn.CONCAT(All_India_Index_Upto_April23__1___1[[#This Row],[Year]],"-",All_India_Index_Upto_April23__1___1[[#This Row],[Month]])</f>
        <v>2013-November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v>114.1</v>
      </c>
      <c r="S33">
        <v>113.5</v>
      </c>
      <c r="T33">
        <v>110.3</v>
      </c>
      <c r="U33">
        <v>113</v>
      </c>
      <c r="V33"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</row>
    <row r="34" spans="1:31" x14ac:dyDescent="0.3">
      <c r="A34" t="s">
        <v>49</v>
      </c>
      <c r="B34">
        <v>2013</v>
      </c>
      <c r="C34" t="s">
        <v>60</v>
      </c>
      <c r="D34" t="str">
        <f>_xlfn.CONCAT(All_India_Index_Upto_April23__1___1[[#This Row],[Year]],"-",All_India_Index_Upto_April23__1___1[[#This Row],[Month]])</f>
        <v>2013-November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v>113.1</v>
      </c>
      <c r="S34">
        <v>114.2</v>
      </c>
      <c r="T34">
        <v>111.9</v>
      </c>
      <c r="U34">
        <v>113.8</v>
      </c>
      <c r="V34"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</row>
    <row r="35" spans="1:31" x14ac:dyDescent="0.3">
      <c r="A35" t="s">
        <v>46</v>
      </c>
      <c r="B35">
        <v>2013</v>
      </c>
      <c r="C35" t="s">
        <v>61</v>
      </c>
      <c r="D35" t="str">
        <f>_xlfn.CONCAT(All_India_Index_Upto_April23__1___1[[#This Row],[Year]],"-",All_India_Index_Upto_April23__1___1[[#This Row],[Month]])</f>
        <v>2013-December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v>113.6</v>
      </c>
      <c r="S35">
        <v>115.8</v>
      </c>
      <c r="T35">
        <v>114</v>
      </c>
      <c r="U35">
        <v>115.5</v>
      </c>
      <c r="V35">
        <v>110.7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</row>
    <row r="36" spans="1:31" x14ac:dyDescent="0.3">
      <c r="A36" t="s">
        <v>48</v>
      </c>
      <c r="B36">
        <v>2013</v>
      </c>
      <c r="C36" t="s">
        <v>61</v>
      </c>
      <c r="D36" t="str">
        <f>_xlfn.CONCAT(All_India_Index_Upto_April23__1___1[[#This Row],[Year]],"-",All_India_Index_Upto_April23__1___1[[#This Row],[Month]])</f>
        <v>2013-December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v>115</v>
      </c>
      <c r="S36">
        <v>114.2</v>
      </c>
      <c r="T36">
        <v>110.9</v>
      </c>
      <c r="U36">
        <v>113.7</v>
      </c>
      <c r="V36"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</row>
    <row r="37" spans="1:31" x14ac:dyDescent="0.3">
      <c r="A37" t="s">
        <v>49</v>
      </c>
      <c r="B37">
        <v>2013</v>
      </c>
      <c r="C37" t="s">
        <v>61</v>
      </c>
      <c r="D37" t="str">
        <f>_xlfn.CONCAT(All_India_Index_Upto_April23__1___1[[#This Row],[Year]],"-",All_India_Index_Upto_April23__1___1[[#This Row],[Month]])</f>
        <v>2013-December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v>114</v>
      </c>
      <c r="S37">
        <v>115.2</v>
      </c>
      <c r="T37">
        <v>112.7</v>
      </c>
      <c r="U37">
        <v>114.8</v>
      </c>
      <c r="V37"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</row>
    <row r="38" spans="1:31" x14ac:dyDescent="0.3">
      <c r="A38" t="s">
        <v>46</v>
      </c>
      <c r="B38">
        <v>2014</v>
      </c>
      <c r="C38" t="s">
        <v>47</v>
      </c>
      <c r="D38" t="str">
        <f>_xlfn.CONCAT(All_India_Index_Upto_April23__1___1[[#This Row],[Year]],"-",All_India_Index_Upto_April23__1___1[[#This Row],[Month]])</f>
        <v>2014-January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v>114</v>
      </c>
      <c r="S38">
        <v>116.5</v>
      </c>
      <c r="T38">
        <v>114.5</v>
      </c>
      <c r="U38">
        <v>116.2</v>
      </c>
      <c r="V38">
        <v>111.6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</row>
    <row r="39" spans="1:31" x14ac:dyDescent="0.3">
      <c r="A39" t="s">
        <v>48</v>
      </c>
      <c r="B39">
        <v>2014</v>
      </c>
      <c r="C39" t="s">
        <v>47</v>
      </c>
      <c r="D39" t="str">
        <f>_xlfn.CONCAT(All_India_Index_Upto_April23__1___1[[#This Row],[Year]],"-",All_India_Index_Upto_April23__1___1[[#This Row],[Month]])</f>
        <v>2014-January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v>115.7</v>
      </c>
      <c r="S39">
        <v>114.8</v>
      </c>
      <c r="T39">
        <v>111.3</v>
      </c>
      <c r="U39">
        <v>114.3</v>
      </c>
      <c r="V39"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</row>
    <row r="40" spans="1:31" x14ac:dyDescent="0.3">
      <c r="A40" t="s">
        <v>49</v>
      </c>
      <c r="B40">
        <v>2014</v>
      </c>
      <c r="C40" t="s">
        <v>47</v>
      </c>
      <c r="D40" t="str">
        <f>_xlfn.CONCAT(All_India_Index_Upto_April23__1___1[[#This Row],[Year]],"-",All_India_Index_Upto_April23__1___1[[#This Row],[Month]])</f>
        <v>2014-January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v>114.5</v>
      </c>
      <c r="S40">
        <v>115.8</v>
      </c>
      <c r="T40">
        <v>113.2</v>
      </c>
      <c r="U40">
        <v>115.4</v>
      </c>
      <c r="V40"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</row>
    <row r="41" spans="1:31" x14ac:dyDescent="0.3">
      <c r="A41" t="s">
        <v>46</v>
      </c>
      <c r="B41">
        <v>2014</v>
      </c>
      <c r="C41" t="s">
        <v>50</v>
      </c>
      <c r="D41" t="str">
        <f>_xlfn.CONCAT(All_India_Index_Upto_April23__1___1[[#This Row],[Year]],"-",All_India_Index_Upto_April23__1___1[[#This Row],[Month]])</f>
        <v>2014-February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v>114.2</v>
      </c>
      <c r="S41">
        <v>117.1</v>
      </c>
      <c r="T41">
        <v>114.5</v>
      </c>
      <c r="U41">
        <v>116.7</v>
      </c>
      <c r="V41">
        <v>112.5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</row>
    <row r="42" spans="1:31" x14ac:dyDescent="0.3">
      <c r="A42" t="s">
        <v>48</v>
      </c>
      <c r="B42">
        <v>2014</v>
      </c>
      <c r="C42" t="s">
        <v>50</v>
      </c>
      <c r="D42" t="str">
        <f>_xlfn.CONCAT(All_India_Index_Upto_April23__1___1[[#This Row],[Year]],"-",All_India_Index_Upto_April23__1___1[[#This Row],[Month]])</f>
        <v>2014-February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v>116.2</v>
      </c>
      <c r="S42">
        <v>115.3</v>
      </c>
      <c r="T42">
        <v>111.7</v>
      </c>
      <c r="U42">
        <v>114.7</v>
      </c>
      <c r="V42"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</row>
    <row r="43" spans="1:31" x14ac:dyDescent="0.3">
      <c r="A43" t="s">
        <v>49</v>
      </c>
      <c r="B43">
        <v>2014</v>
      </c>
      <c r="C43" t="s">
        <v>50</v>
      </c>
      <c r="D43" t="str">
        <f>_xlfn.CONCAT(All_India_Index_Upto_April23__1___1[[#This Row],[Year]],"-",All_India_Index_Upto_April23__1___1[[#This Row],[Month]])</f>
        <v>2014-February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v>114.7</v>
      </c>
      <c r="S43">
        <v>116.4</v>
      </c>
      <c r="T43">
        <v>113.3</v>
      </c>
      <c r="U43">
        <v>115.9</v>
      </c>
      <c r="V43"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</row>
    <row r="44" spans="1:31" x14ac:dyDescent="0.3">
      <c r="A44" t="s">
        <v>46</v>
      </c>
      <c r="B44">
        <v>2014</v>
      </c>
      <c r="C44" t="s">
        <v>51</v>
      </c>
      <c r="D44" t="str">
        <f>_xlfn.CONCAT(All_India_Index_Upto_April23__1___1[[#This Row],[Year]],"-",All_India_Index_Upto_April23__1___1[[#This Row],[Month]])</f>
        <v>2014-March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v>114.6</v>
      </c>
      <c r="S44">
        <v>117.5</v>
      </c>
      <c r="T44">
        <v>114.9</v>
      </c>
      <c r="U44">
        <v>117.2</v>
      </c>
      <c r="V44">
        <v>113.2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</row>
    <row r="45" spans="1:31" x14ac:dyDescent="0.3">
      <c r="A45" t="s">
        <v>48</v>
      </c>
      <c r="B45">
        <v>2014</v>
      </c>
      <c r="C45" t="s">
        <v>51</v>
      </c>
      <c r="D45" t="str">
        <f>_xlfn.CONCAT(All_India_Index_Upto_April23__1___1[[#This Row],[Year]],"-",All_India_Index_Upto_April23__1___1[[#This Row],[Month]])</f>
        <v>2014-March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v>116.7</v>
      </c>
      <c r="S45">
        <v>115.8</v>
      </c>
      <c r="T45">
        <v>112.1</v>
      </c>
      <c r="U45">
        <v>115.2</v>
      </c>
      <c r="V45"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</row>
    <row r="46" spans="1:31" x14ac:dyDescent="0.3">
      <c r="A46" t="s">
        <v>49</v>
      </c>
      <c r="B46">
        <v>2014</v>
      </c>
      <c r="C46" t="s">
        <v>51</v>
      </c>
      <c r="D46" t="str">
        <f>_xlfn.CONCAT(All_India_Index_Upto_April23__1___1[[#This Row],[Year]],"-",All_India_Index_Upto_April23__1___1[[#This Row],[Month]])</f>
        <v>2014-March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v>115.2</v>
      </c>
      <c r="S46">
        <v>116.8</v>
      </c>
      <c r="T46">
        <v>113.7</v>
      </c>
      <c r="U46">
        <v>116.4</v>
      </c>
      <c r="V46"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</row>
    <row r="47" spans="1:31" x14ac:dyDescent="0.3">
      <c r="A47" t="s">
        <v>46</v>
      </c>
      <c r="B47">
        <v>2014</v>
      </c>
      <c r="C47" t="s">
        <v>52</v>
      </c>
      <c r="D47" t="str">
        <f>_xlfn.CONCAT(All_India_Index_Upto_April23__1___1[[#This Row],[Year]],"-",All_India_Index_Upto_April23__1___1[[#This Row],[Month]])</f>
        <v>2014-April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v>115.4</v>
      </c>
      <c r="S47">
        <v>118.1</v>
      </c>
      <c r="T47">
        <v>116.1</v>
      </c>
      <c r="U47">
        <v>117.8</v>
      </c>
      <c r="V47">
        <v>113.9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</row>
    <row r="48" spans="1:31" x14ac:dyDescent="0.3">
      <c r="A48" t="s">
        <v>48</v>
      </c>
      <c r="B48">
        <v>2014</v>
      </c>
      <c r="C48" t="s">
        <v>52</v>
      </c>
      <c r="D48" t="str">
        <f>_xlfn.CONCAT(All_India_Index_Upto_April23__1___1[[#This Row],[Year]],"-",All_India_Index_Upto_April23__1___1[[#This Row],[Month]])</f>
        <v>2014-April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v>117.6</v>
      </c>
      <c r="S48">
        <v>116.3</v>
      </c>
      <c r="T48">
        <v>112.5</v>
      </c>
      <c r="U48">
        <v>115.7</v>
      </c>
      <c r="V48"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</row>
    <row r="49" spans="1:31" x14ac:dyDescent="0.3">
      <c r="A49" t="s">
        <v>49</v>
      </c>
      <c r="B49">
        <v>2014</v>
      </c>
      <c r="C49" t="s">
        <v>52</v>
      </c>
      <c r="D49" t="str">
        <f>_xlfn.CONCAT(All_India_Index_Upto_April23__1___1[[#This Row],[Year]],"-",All_India_Index_Upto_April23__1___1[[#This Row],[Month]])</f>
        <v>2014-April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v>116</v>
      </c>
      <c r="S49">
        <v>117.4</v>
      </c>
      <c r="T49">
        <v>114.6</v>
      </c>
      <c r="U49">
        <v>117</v>
      </c>
      <c r="V49"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</row>
    <row r="50" spans="1:31" x14ac:dyDescent="0.3">
      <c r="A50" t="s">
        <v>46</v>
      </c>
      <c r="B50">
        <v>2014</v>
      </c>
      <c r="C50" t="s">
        <v>53</v>
      </c>
      <c r="D50" t="str">
        <f>_xlfn.CONCAT(All_India_Index_Upto_April23__1___1[[#This Row],[Year]],"-",All_India_Index_Upto_April23__1___1[[#This Row],[Month]])</f>
        <v>2014-May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v>116.3</v>
      </c>
      <c r="S50">
        <v>118.7</v>
      </c>
      <c r="T50">
        <v>116.8</v>
      </c>
      <c r="U50">
        <v>118.5</v>
      </c>
      <c r="V50">
        <v>114.3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</row>
    <row r="51" spans="1:31" x14ac:dyDescent="0.3">
      <c r="A51" t="s">
        <v>48</v>
      </c>
      <c r="B51">
        <v>2014</v>
      </c>
      <c r="C51" t="s">
        <v>53</v>
      </c>
      <c r="D51" t="str">
        <f>_xlfn.CONCAT(All_India_Index_Upto_April23__1___1[[#This Row],[Year]],"-",All_India_Index_Upto_April23__1___1[[#This Row],[Month]])</f>
        <v>2014-May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v>118.3</v>
      </c>
      <c r="S51">
        <v>116.8</v>
      </c>
      <c r="T51">
        <v>112.9</v>
      </c>
      <c r="U51">
        <v>116.2</v>
      </c>
      <c r="V51"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</row>
    <row r="52" spans="1:31" x14ac:dyDescent="0.3">
      <c r="A52" t="s">
        <v>49</v>
      </c>
      <c r="B52">
        <v>2014</v>
      </c>
      <c r="C52" t="s">
        <v>53</v>
      </c>
      <c r="D52" t="str">
        <f>_xlfn.CONCAT(All_India_Index_Upto_April23__1___1[[#This Row],[Year]],"-",All_India_Index_Upto_April23__1___1[[#This Row],[Month]])</f>
        <v>2014-May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v>116.8</v>
      </c>
      <c r="S52">
        <v>118</v>
      </c>
      <c r="T52">
        <v>115.2</v>
      </c>
      <c r="U52">
        <v>117.6</v>
      </c>
      <c r="V52"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</row>
    <row r="53" spans="1:31" x14ac:dyDescent="0.3">
      <c r="A53" t="s">
        <v>46</v>
      </c>
      <c r="B53">
        <v>2014</v>
      </c>
      <c r="C53" t="s">
        <v>54</v>
      </c>
      <c r="D53" t="str">
        <f>_xlfn.CONCAT(All_India_Index_Upto_April23__1___1[[#This Row],[Year]],"-",All_India_Index_Upto_April23__1___1[[#This Row],[Month]])</f>
        <v>2014-June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v>117.3</v>
      </c>
      <c r="S53">
        <v>119.7</v>
      </c>
      <c r="T53">
        <v>117.3</v>
      </c>
      <c r="U53">
        <v>119.3</v>
      </c>
      <c r="V53">
        <v>113.9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</row>
    <row r="54" spans="1:31" x14ac:dyDescent="0.3">
      <c r="A54" t="s">
        <v>48</v>
      </c>
      <c r="B54">
        <v>2014</v>
      </c>
      <c r="C54" t="s">
        <v>54</v>
      </c>
      <c r="D54" t="str">
        <f>_xlfn.CONCAT(All_India_Index_Upto_April23__1___1[[#This Row],[Year]],"-",All_India_Index_Upto_April23__1___1[[#This Row],[Month]])</f>
        <v>2014-June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v>119</v>
      </c>
      <c r="S54">
        <v>117.4</v>
      </c>
      <c r="T54">
        <v>113.2</v>
      </c>
      <c r="U54">
        <v>116.7</v>
      </c>
      <c r="V54"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</row>
    <row r="55" spans="1:31" x14ac:dyDescent="0.3">
      <c r="A55" t="s">
        <v>49</v>
      </c>
      <c r="B55">
        <v>2014</v>
      </c>
      <c r="C55" t="s">
        <v>54</v>
      </c>
      <c r="D55" t="str">
        <f>_xlfn.CONCAT(All_India_Index_Upto_April23__1___1[[#This Row],[Year]],"-",All_India_Index_Upto_April23__1___1[[#This Row],[Month]])</f>
        <v>2014-June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v>117.8</v>
      </c>
      <c r="S55">
        <v>118.8</v>
      </c>
      <c r="T55">
        <v>115.6</v>
      </c>
      <c r="U55">
        <v>118.3</v>
      </c>
      <c r="V55"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</row>
    <row r="56" spans="1:31" x14ac:dyDescent="0.3">
      <c r="A56" t="s">
        <v>46</v>
      </c>
      <c r="B56">
        <v>2014</v>
      </c>
      <c r="C56" t="s">
        <v>55</v>
      </c>
      <c r="D56" t="str">
        <f>_xlfn.CONCAT(All_India_Index_Upto_April23__1___1[[#This Row],[Year]],"-",All_India_Index_Upto_April23__1___1[[#This Row],[Month]])</f>
        <v>2014-July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v>118</v>
      </c>
      <c r="S56">
        <v>120.7</v>
      </c>
      <c r="T56">
        <v>118.3</v>
      </c>
      <c r="U56">
        <v>120.3</v>
      </c>
      <c r="V56">
        <v>114.8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</row>
    <row r="57" spans="1:31" x14ac:dyDescent="0.3">
      <c r="A57" t="s">
        <v>48</v>
      </c>
      <c r="B57">
        <v>2014</v>
      </c>
      <c r="C57" t="s">
        <v>55</v>
      </c>
      <c r="D57" t="str">
        <f>_xlfn.CONCAT(All_India_Index_Upto_April23__1___1[[#This Row],[Year]],"-",All_India_Index_Upto_April23__1___1[[#This Row],[Month]])</f>
        <v>2014-July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v>121</v>
      </c>
      <c r="S57">
        <v>118</v>
      </c>
      <c r="T57">
        <v>113.6</v>
      </c>
      <c r="U57">
        <v>117.4</v>
      </c>
      <c r="V57"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</row>
    <row r="58" spans="1:31" x14ac:dyDescent="0.3">
      <c r="A58" t="s">
        <v>49</v>
      </c>
      <c r="B58">
        <v>2014</v>
      </c>
      <c r="C58" t="s">
        <v>55</v>
      </c>
      <c r="D58" t="str">
        <f>_xlfn.CONCAT(All_India_Index_Upto_April23__1___1[[#This Row],[Year]],"-",All_India_Index_Upto_April23__1___1[[#This Row],[Month]])</f>
        <v>2014-July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v>118.8</v>
      </c>
      <c r="S58">
        <v>119.6</v>
      </c>
      <c r="T58">
        <v>116.3</v>
      </c>
      <c r="U58">
        <v>119.1</v>
      </c>
      <c r="V58"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</row>
    <row r="59" spans="1:31" x14ac:dyDescent="0.3">
      <c r="A59" t="s">
        <v>46</v>
      </c>
      <c r="B59">
        <v>2014</v>
      </c>
      <c r="C59" t="s">
        <v>56</v>
      </c>
      <c r="D59" t="str">
        <f>_xlfn.CONCAT(All_India_Index_Upto_April23__1___1[[#This Row],[Year]],"-",All_India_Index_Upto_April23__1___1[[#This Row],[Month]])</f>
        <v>2014-August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v>118.8</v>
      </c>
      <c r="S59">
        <v>120.9</v>
      </c>
      <c r="T59">
        <v>118.8</v>
      </c>
      <c r="U59">
        <v>120.7</v>
      </c>
      <c r="V59">
        <v>115.5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</row>
    <row r="60" spans="1:31" x14ac:dyDescent="0.3">
      <c r="A60" t="s">
        <v>48</v>
      </c>
      <c r="B60">
        <v>2014</v>
      </c>
      <c r="C60" t="s">
        <v>56</v>
      </c>
      <c r="D60" t="str">
        <f>_xlfn.CONCAT(All_India_Index_Upto_April23__1___1[[#This Row],[Year]],"-",All_India_Index_Upto_April23__1___1[[#This Row],[Month]])</f>
        <v>2014-August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v>123</v>
      </c>
      <c r="S60">
        <v>118.6</v>
      </c>
      <c r="T60">
        <v>114.1</v>
      </c>
      <c r="U60">
        <v>117.9</v>
      </c>
      <c r="V60"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</row>
    <row r="61" spans="1:31" x14ac:dyDescent="0.3">
      <c r="A61" t="s">
        <v>49</v>
      </c>
      <c r="B61">
        <v>2014</v>
      </c>
      <c r="C61" t="s">
        <v>56</v>
      </c>
      <c r="D61" t="str">
        <f>_xlfn.CONCAT(All_India_Index_Upto_April23__1___1[[#This Row],[Year]],"-",All_India_Index_Upto_April23__1___1[[#This Row],[Month]])</f>
        <v>2014-August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v>119.9</v>
      </c>
      <c r="S61">
        <v>120</v>
      </c>
      <c r="T61">
        <v>116.8</v>
      </c>
      <c r="U61">
        <v>119.6</v>
      </c>
      <c r="V61"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</row>
    <row r="62" spans="1:31" x14ac:dyDescent="0.3">
      <c r="A62" t="s">
        <v>46</v>
      </c>
      <c r="B62">
        <v>2014</v>
      </c>
      <c r="C62" t="s">
        <v>57</v>
      </c>
      <c r="D62" t="str">
        <f>_xlfn.CONCAT(All_India_Index_Upto_April23__1___1[[#This Row],[Year]],"-",All_India_Index_Upto_April23__1___1[[#This Row],[Month]])</f>
        <v>2014-September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v>119.5</v>
      </c>
      <c r="S62">
        <v>121.7</v>
      </c>
      <c r="T62">
        <v>119.2</v>
      </c>
      <c r="U62">
        <v>121.3</v>
      </c>
      <c r="V62">
        <v>116.1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</row>
    <row r="63" spans="1:31" x14ac:dyDescent="0.3">
      <c r="A63" t="s">
        <v>48</v>
      </c>
      <c r="B63">
        <v>2014</v>
      </c>
      <c r="C63" t="s">
        <v>57</v>
      </c>
      <c r="D63" t="str">
        <f>_xlfn.CONCAT(All_India_Index_Upto_April23__1___1[[#This Row],[Year]],"-",All_India_Index_Upto_April23__1___1[[#This Row],[Month]])</f>
        <v>2014-September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v>124.3</v>
      </c>
      <c r="S63">
        <v>119.2</v>
      </c>
      <c r="T63">
        <v>114.5</v>
      </c>
      <c r="U63">
        <v>118.4</v>
      </c>
      <c r="V63"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</row>
    <row r="64" spans="1:31" x14ac:dyDescent="0.3">
      <c r="A64" t="s">
        <v>49</v>
      </c>
      <c r="B64">
        <v>2014</v>
      </c>
      <c r="C64" t="s">
        <v>57</v>
      </c>
      <c r="D64" t="str">
        <f>_xlfn.CONCAT(All_India_Index_Upto_April23__1___1[[#This Row],[Year]],"-",All_India_Index_Upto_April23__1___1[[#This Row],[Month]])</f>
        <v>2014-September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v>120.8</v>
      </c>
      <c r="S64">
        <v>120.7</v>
      </c>
      <c r="T64">
        <v>117.2</v>
      </c>
      <c r="U64">
        <v>120.1</v>
      </c>
      <c r="V64"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</row>
    <row r="65" spans="1:31" x14ac:dyDescent="0.3">
      <c r="A65" t="s">
        <v>46</v>
      </c>
      <c r="B65">
        <v>2014</v>
      </c>
      <c r="C65" t="s">
        <v>58</v>
      </c>
      <c r="D65" t="str">
        <f>_xlfn.CONCAT(All_India_Index_Upto_April23__1___1[[#This Row],[Year]],"-",All_India_Index_Upto_April23__1___1[[#This Row],[Month]])</f>
        <v>2014-October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v>120</v>
      </c>
      <c r="S65">
        <v>122.7</v>
      </c>
      <c r="T65">
        <v>120.3</v>
      </c>
      <c r="U65">
        <v>122.3</v>
      </c>
      <c r="V65">
        <v>116.7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</row>
    <row r="66" spans="1:31" x14ac:dyDescent="0.3">
      <c r="A66" t="s">
        <v>48</v>
      </c>
      <c r="B66">
        <v>2014</v>
      </c>
      <c r="C66" t="s">
        <v>58</v>
      </c>
      <c r="D66" t="str">
        <f>_xlfn.CONCAT(All_India_Index_Upto_April23__1___1[[#This Row],[Year]],"-",All_India_Index_Upto_April23__1___1[[#This Row],[Month]])</f>
        <v>2014-October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v>124.3</v>
      </c>
      <c r="S66">
        <v>119.6</v>
      </c>
      <c r="T66">
        <v>114.9</v>
      </c>
      <c r="U66">
        <v>118.9</v>
      </c>
      <c r="V66"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</row>
    <row r="67" spans="1:31" x14ac:dyDescent="0.3">
      <c r="A67" t="s">
        <v>49</v>
      </c>
      <c r="B67">
        <v>2014</v>
      </c>
      <c r="C67" t="s">
        <v>58</v>
      </c>
      <c r="D67" t="str">
        <f>_xlfn.CONCAT(All_India_Index_Upto_April23__1___1[[#This Row],[Year]],"-",All_India_Index_Upto_April23__1___1[[#This Row],[Month]])</f>
        <v>2014-October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v>121.1</v>
      </c>
      <c r="S67">
        <v>121.5</v>
      </c>
      <c r="T67">
        <v>118.1</v>
      </c>
      <c r="U67">
        <v>121</v>
      </c>
      <c r="V67"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</row>
    <row r="68" spans="1:31" x14ac:dyDescent="0.3">
      <c r="A68" t="s">
        <v>46</v>
      </c>
      <c r="B68">
        <v>2014</v>
      </c>
      <c r="C68" t="s">
        <v>60</v>
      </c>
      <c r="D68" t="str">
        <f>_xlfn.CONCAT(All_India_Index_Upto_April23__1___1[[#This Row],[Year]],"-",All_India_Index_Upto_April23__1___1[[#This Row],[Month]])</f>
        <v>2014-November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v>120.8</v>
      </c>
      <c r="S68">
        <v>123.3</v>
      </c>
      <c r="T68">
        <v>120.5</v>
      </c>
      <c r="U68">
        <v>122.9</v>
      </c>
      <c r="V68">
        <v>117.1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</row>
    <row r="69" spans="1:31" x14ac:dyDescent="0.3">
      <c r="A69" t="s">
        <v>48</v>
      </c>
      <c r="B69">
        <v>2014</v>
      </c>
      <c r="C69" t="s">
        <v>60</v>
      </c>
      <c r="D69" t="str">
        <f>_xlfn.CONCAT(All_India_Index_Upto_April23__1___1[[#This Row],[Year]],"-",All_India_Index_Upto_April23__1___1[[#This Row],[Month]])</f>
        <v>2014-November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v>125.8</v>
      </c>
      <c r="S69">
        <v>120.3</v>
      </c>
      <c r="T69">
        <v>115.4</v>
      </c>
      <c r="U69">
        <v>119.5</v>
      </c>
      <c r="V69"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</row>
    <row r="70" spans="1:31" x14ac:dyDescent="0.3">
      <c r="A70" t="s">
        <v>49</v>
      </c>
      <c r="B70">
        <v>2014</v>
      </c>
      <c r="C70" t="s">
        <v>60</v>
      </c>
      <c r="D70" t="str">
        <f>_xlfn.CONCAT(All_India_Index_Upto_April23__1___1[[#This Row],[Year]],"-",All_India_Index_Upto_April23__1___1[[#This Row],[Month]])</f>
        <v>2014-November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v>122.1</v>
      </c>
      <c r="S70">
        <v>122.1</v>
      </c>
      <c r="T70">
        <v>118.4</v>
      </c>
      <c r="U70">
        <v>121.6</v>
      </c>
      <c r="V70"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</row>
    <row r="71" spans="1:31" x14ac:dyDescent="0.3">
      <c r="A71" t="s">
        <v>46</v>
      </c>
      <c r="B71">
        <v>2014</v>
      </c>
      <c r="C71" t="s">
        <v>61</v>
      </c>
      <c r="D71" t="str">
        <f>_xlfn.CONCAT(All_India_Index_Upto_April23__1___1[[#This Row],[Year]],"-",All_India_Index_Upto_April23__1___1[[#This Row],[Month]])</f>
        <v>2014-December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v>121.7</v>
      </c>
      <c r="S71">
        <v>123.8</v>
      </c>
      <c r="T71">
        <v>120.6</v>
      </c>
      <c r="U71">
        <v>123.3</v>
      </c>
      <c r="V71">
        <v>116.5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</row>
    <row r="72" spans="1:31" x14ac:dyDescent="0.3">
      <c r="A72" t="s">
        <v>48</v>
      </c>
      <c r="B72">
        <v>2014</v>
      </c>
      <c r="C72" t="s">
        <v>61</v>
      </c>
      <c r="D72" t="str">
        <f>_xlfn.CONCAT(All_India_Index_Upto_April23__1___1[[#This Row],[Year]],"-",All_India_Index_Upto_April23__1___1[[#This Row],[Month]])</f>
        <v>2014-December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v>126.4</v>
      </c>
      <c r="S72">
        <v>120.7</v>
      </c>
      <c r="T72">
        <v>115.8</v>
      </c>
      <c r="U72">
        <v>120</v>
      </c>
      <c r="V72"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</row>
    <row r="73" spans="1:31" x14ac:dyDescent="0.3">
      <c r="A73" t="s">
        <v>49</v>
      </c>
      <c r="B73">
        <v>2014</v>
      </c>
      <c r="C73" t="s">
        <v>61</v>
      </c>
      <c r="D73" t="str">
        <f>_xlfn.CONCAT(All_India_Index_Upto_April23__1___1[[#This Row],[Year]],"-",All_India_Index_Upto_April23__1___1[[#This Row],[Month]])</f>
        <v>2014-December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v>123</v>
      </c>
      <c r="S73">
        <v>122.6</v>
      </c>
      <c r="T73">
        <v>118.6</v>
      </c>
      <c r="U73">
        <v>122</v>
      </c>
      <c r="V73"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</row>
    <row r="74" spans="1:31" x14ac:dyDescent="0.3">
      <c r="A74" t="s">
        <v>46</v>
      </c>
      <c r="B74">
        <v>2015</v>
      </c>
      <c r="C74" t="s">
        <v>47</v>
      </c>
      <c r="D74" t="str">
        <f>_xlfn.CONCAT(All_India_Index_Upto_April23__1___1[[#This Row],[Year]],"-",All_India_Index_Upto_April23__1___1[[#This Row],[Month]])</f>
        <v>2015-January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v>122.7</v>
      </c>
      <c r="S74">
        <v>124.4</v>
      </c>
      <c r="T74">
        <v>121.6</v>
      </c>
      <c r="U74">
        <v>124</v>
      </c>
      <c r="V74">
        <v>117.3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</row>
    <row r="75" spans="1:31" x14ac:dyDescent="0.3">
      <c r="A75" t="s">
        <v>48</v>
      </c>
      <c r="B75">
        <v>2015</v>
      </c>
      <c r="C75" t="s">
        <v>47</v>
      </c>
      <c r="D75" t="str">
        <f>_xlfn.CONCAT(All_India_Index_Upto_April23__1___1[[#This Row],[Year]],"-",All_India_Index_Upto_April23__1___1[[#This Row],[Month]])</f>
        <v>2015-January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v>127.4</v>
      </c>
      <c r="S75">
        <v>121</v>
      </c>
      <c r="T75">
        <v>116.1</v>
      </c>
      <c r="U75">
        <v>120.2</v>
      </c>
      <c r="V75"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</row>
    <row r="76" spans="1:31" x14ac:dyDescent="0.3">
      <c r="A76" t="s">
        <v>49</v>
      </c>
      <c r="B76">
        <v>2015</v>
      </c>
      <c r="C76" t="s">
        <v>47</v>
      </c>
      <c r="D76" t="str">
        <f>_xlfn.CONCAT(All_India_Index_Upto_April23__1___1[[#This Row],[Year]],"-",All_India_Index_Upto_April23__1___1[[#This Row],[Month]])</f>
        <v>2015-January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v>124</v>
      </c>
      <c r="S76">
        <v>123.1</v>
      </c>
      <c r="T76">
        <v>119.3</v>
      </c>
      <c r="U76">
        <v>122.5</v>
      </c>
      <c r="V76"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</row>
    <row r="77" spans="1:31" x14ac:dyDescent="0.3">
      <c r="A77" t="s">
        <v>46</v>
      </c>
      <c r="B77">
        <v>2015</v>
      </c>
      <c r="C77" t="s">
        <v>50</v>
      </c>
      <c r="D77" t="str">
        <f>_xlfn.CONCAT(All_India_Index_Upto_April23__1___1[[#This Row],[Year]],"-",All_India_Index_Upto_April23__1___1[[#This Row],[Month]])</f>
        <v>2015-February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v>124.2</v>
      </c>
      <c r="S77">
        <v>125.4</v>
      </c>
      <c r="T77">
        <v>122.7</v>
      </c>
      <c r="U77">
        <v>125</v>
      </c>
      <c r="V77">
        <v>118.1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</row>
    <row r="78" spans="1:31" x14ac:dyDescent="0.3">
      <c r="A78" t="s">
        <v>48</v>
      </c>
      <c r="B78">
        <v>2015</v>
      </c>
      <c r="C78" t="s">
        <v>50</v>
      </c>
      <c r="D78" t="str">
        <f>_xlfn.CONCAT(All_India_Index_Upto_April23__1___1[[#This Row],[Year]],"-",All_India_Index_Upto_April23__1___1[[#This Row],[Month]])</f>
        <v>2015-February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v>128.1</v>
      </c>
      <c r="S78">
        <v>121.3</v>
      </c>
      <c r="T78">
        <v>116.5</v>
      </c>
      <c r="U78">
        <v>120.6</v>
      </c>
      <c r="V78"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</row>
    <row r="79" spans="1:31" x14ac:dyDescent="0.3">
      <c r="A79" t="s">
        <v>49</v>
      </c>
      <c r="B79">
        <v>2015</v>
      </c>
      <c r="C79" t="s">
        <v>50</v>
      </c>
      <c r="D79" t="str">
        <f>_xlfn.CONCAT(All_India_Index_Upto_April23__1___1[[#This Row],[Year]],"-",All_India_Index_Upto_April23__1___1[[#This Row],[Month]])</f>
        <v>2015-February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v>125.2</v>
      </c>
      <c r="S79">
        <v>123.8</v>
      </c>
      <c r="T79">
        <v>120.1</v>
      </c>
      <c r="U79">
        <v>123.3</v>
      </c>
      <c r="V79"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</row>
    <row r="80" spans="1:31" x14ac:dyDescent="0.3">
      <c r="A80" t="s">
        <v>46</v>
      </c>
      <c r="B80">
        <v>2015</v>
      </c>
      <c r="C80" t="s">
        <v>51</v>
      </c>
      <c r="D80" t="str">
        <f>_xlfn.CONCAT(All_India_Index_Upto_April23__1___1[[#This Row],[Year]],"-",All_India_Index_Upto_April23__1___1[[#This Row],[Month]])</f>
        <v>2015-March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v>124.7</v>
      </c>
      <c r="S80">
        <v>126</v>
      </c>
      <c r="T80">
        <v>122.9</v>
      </c>
      <c r="U80">
        <v>125.5</v>
      </c>
      <c r="V80">
        <v>118.6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</row>
    <row r="81" spans="1:31" x14ac:dyDescent="0.3">
      <c r="A81" t="s">
        <v>48</v>
      </c>
      <c r="B81">
        <v>2015</v>
      </c>
      <c r="C81" t="s">
        <v>51</v>
      </c>
      <c r="D81" t="str">
        <f>_xlfn.CONCAT(All_India_Index_Upto_April23__1___1[[#This Row],[Year]],"-",All_India_Index_Upto_April23__1___1[[#This Row],[Month]])</f>
        <v>2015-March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v>128.80000000000001</v>
      </c>
      <c r="S81">
        <v>121.7</v>
      </c>
      <c r="T81">
        <v>116.9</v>
      </c>
      <c r="U81">
        <v>120.9</v>
      </c>
      <c r="V81"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</row>
    <row r="82" spans="1:31" x14ac:dyDescent="0.3">
      <c r="A82" t="s">
        <v>49</v>
      </c>
      <c r="B82">
        <v>2015</v>
      </c>
      <c r="C82" t="s">
        <v>51</v>
      </c>
      <c r="D82" t="str">
        <f>_xlfn.CONCAT(All_India_Index_Upto_April23__1___1[[#This Row],[Year]],"-",All_India_Index_Upto_April23__1___1[[#This Row],[Month]])</f>
        <v>2015-March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v>125.8</v>
      </c>
      <c r="S82">
        <v>124.3</v>
      </c>
      <c r="T82">
        <v>120.4</v>
      </c>
      <c r="U82">
        <v>123.7</v>
      </c>
      <c r="V82"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</row>
    <row r="83" spans="1:31" x14ac:dyDescent="0.3">
      <c r="A83" t="s">
        <v>46</v>
      </c>
      <c r="B83">
        <v>2015</v>
      </c>
      <c r="C83" t="s">
        <v>52</v>
      </c>
      <c r="D83" t="str">
        <f>_xlfn.CONCAT(All_India_Index_Upto_April23__1___1[[#This Row],[Year]],"-",All_India_Index_Upto_April23__1___1[[#This Row],[Month]])</f>
        <v>2015-April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v>125.7</v>
      </c>
      <c r="S83">
        <v>126.4</v>
      </c>
      <c r="T83">
        <v>123.3</v>
      </c>
      <c r="U83">
        <v>126</v>
      </c>
      <c r="V83">
        <v>119.2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</row>
    <row r="84" spans="1:31" x14ac:dyDescent="0.3">
      <c r="A84" t="s">
        <v>48</v>
      </c>
      <c r="B84">
        <v>2015</v>
      </c>
      <c r="C84" t="s">
        <v>52</v>
      </c>
      <c r="D84" t="str">
        <f>_xlfn.CONCAT(All_India_Index_Upto_April23__1___1[[#This Row],[Year]],"-",All_India_Index_Upto_April23__1___1[[#This Row],[Month]])</f>
        <v>2015-April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v>130.1</v>
      </c>
      <c r="S84">
        <v>122.1</v>
      </c>
      <c r="T84">
        <v>117.2</v>
      </c>
      <c r="U84">
        <v>121.3</v>
      </c>
      <c r="V84"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</row>
    <row r="85" spans="1:31" x14ac:dyDescent="0.3">
      <c r="A85" t="s">
        <v>49</v>
      </c>
      <c r="B85">
        <v>2015</v>
      </c>
      <c r="C85" t="s">
        <v>52</v>
      </c>
      <c r="D85" t="str">
        <f>_xlfn.CONCAT(All_India_Index_Upto_April23__1___1[[#This Row],[Year]],"-",All_India_Index_Upto_April23__1___1[[#This Row],[Month]])</f>
        <v>2015-April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v>126.9</v>
      </c>
      <c r="S85">
        <v>124.7</v>
      </c>
      <c r="T85">
        <v>120.8</v>
      </c>
      <c r="U85">
        <v>124.1</v>
      </c>
      <c r="V85"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</row>
    <row r="86" spans="1:31" x14ac:dyDescent="0.3">
      <c r="A86" t="s">
        <v>46</v>
      </c>
      <c r="B86">
        <v>2015</v>
      </c>
      <c r="C86" t="s">
        <v>53</v>
      </c>
      <c r="D86" t="str">
        <f>_xlfn.CONCAT(All_India_Index_Upto_April23__1___1[[#This Row],[Year]],"-",All_India_Index_Upto_April23__1___1[[#This Row],[Month]])</f>
        <v>2015-May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v>126.7</v>
      </c>
      <c r="S86">
        <v>127.3</v>
      </c>
      <c r="T86">
        <v>124.1</v>
      </c>
      <c r="U86">
        <v>126.8</v>
      </c>
      <c r="V86">
        <v>119.6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</row>
    <row r="87" spans="1:31" x14ac:dyDescent="0.3">
      <c r="A87" t="s">
        <v>48</v>
      </c>
      <c r="B87">
        <v>2015</v>
      </c>
      <c r="C87" t="s">
        <v>53</v>
      </c>
      <c r="D87" t="str">
        <f>_xlfn.CONCAT(All_India_Index_Upto_April23__1___1[[#This Row],[Year]],"-",All_India_Index_Upto_April23__1___1[[#This Row],[Month]])</f>
        <v>2015-May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v>131.30000000000001</v>
      </c>
      <c r="S87">
        <v>122.4</v>
      </c>
      <c r="T87">
        <v>117.4</v>
      </c>
      <c r="U87">
        <v>121.6</v>
      </c>
      <c r="V87"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</row>
    <row r="88" spans="1:31" x14ac:dyDescent="0.3">
      <c r="A88" t="s">
        <v>49</v>
      </c>
      <c r="B88">
        <v>2015</v>
      </c>
      <c r="C88" t="s">
        <v>53</v>
      </c>
      <c r="D88" t="str">
        <f>_xlfn.CONCAT(All_India_Index_Upto_April23__1___1[[#This Row],[Year]],"-",All_India_Index_Upto_April23__1___1[[#This Row],[Month]])</f>
        <v>2015-May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v>127.9</v>
      </c>
      <c r="S88">
        <v>125.4</v>
      </c>
      <c r="T88">
        <v>121.3</v>
      </c>
      <c r="U88">
        <v>124.7</v>
      </c>
      <c r="V88"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</row>
    <row r="89" spans="1:31" x14ac:dyDescent="0.3">
      <c r="A89" t="s">
        <v>46</v>
      </c>
      <c r="B89">
        <v>2015</v>
      </c>
      <c r="C89" t="s">
        <v>54</v>
      </c>
      <c r="D89" t="str">
        <f>_xlfn.CONCAT(All_India_Index_Upto_April23__1___1[[#This Row],[Year]],"-",All_India_Index_Upto_April23__1___1[[#This Row],[Month]])</f>
        <v>2015-June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v>128.19999999999999</v>
      </c>
      <c r="S89">
        <v>128.4</v>
      </c>
      <c r="T89">
        <v>125.1</v>
      </c>
      <c r="U89">
        <v>128</v>
      </c>
      <c r="V89">
        <v>119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</row>
    <row r="90" spans="1:31" x14ac:dyDescent="0.3">
      <c r="A90" t="s">
        <v>48</v>
      </c>
      <c r="B90">
        <v>2015</v>
      </c>
      <c r="C90" t="s">
        <v>54</v>
      </c>
      <c r="D90" t="str">
        <f>_xlfn.CONCAT(All_India_Index_Upto_April23__1___1[[#This Row],[Year]],"-",All_India_Index_Upto_April23__1___1[[#This Row],[Month]])</f>
        <v>2015-June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v>132.1</v>
      </c>
      <c r="S90">
        <v>123.2</v>
      </c>
      <c r="T90">
        <v>117.6</v>
      </c>
      <c r="U90">
        <v>122.3</v>
      </c>
      <c r="V90"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</row>
    <row r="91" spans="1:31" x14ac:dyDescent="0.3">
      <c r="A91" t="s">
        <v>49</v>
      </c>
      <c r="B91">
        <v>2015</v>
      </c>
      <c r="C91" t="s">
        <v>54</v>
      </c>
      <c r="D91" t="str">
        <f>_xlfn.CONCAT(All_India_Index_Upto_April23__1___1[[#This Row],[Year]],"-",All_India_Index_Upto_April23__1___1[[#This Row],[Month]])</f>
        <v>2015-June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v>129.19999999999999</v>
      </c>
      <c r="S91">
        <v>126.4</v>
      </c>
      <c r="T91">
        <v>122</v>
      </c>
      <c r="U91">
        <v>125.7</v>
      </c>
      <c r="V91"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</row>
    <row r="92" spans="1:31" x14ac:dyDescent="0.3">
      <c r="A92" t="s">
        <v>46</v>
      </c>
      <c r="B92">
        <v>2015</v>
      </c>
      <c r="C92" t="s">
        <v>55</v>
      </c>
      <c r="D92" t="str">
        <f>_xlfn.CONCAT(All_India_Index_Upto_April23__1___1[[#This Row],[Year]],"-",All_India_Index_Upto_April23__1___1[[#This Row],[Month]])</f>
        <v>2015-July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v>129.4</v>
      </c>
      <c r="S92">
        <v>128.80000000000001</v>
      </c>
      <c r="T92">
        <v>125.5</v>
      </c>
      <c r="U92">
        <v>128.30000000000001</v>
      </c>
      <c r="V92">
        <v>119.9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</row>
    <row r="93" spans="1:31" x14ac:dyDescent="0.3">
      <c r="A93" t="s">
        <v>48</v>
      </c>
      <c r="B93">
        <v>2015</v>
      </c>
      <c r="C93" t="s">
        <v>55</v>
      </c>
      <c r="D93" t="str">
        <f>_xlfn.CONCAT(All_India_Index_Upto_April23__1___1[[#This Row],[Year]],"-",All_India_Index_Upto_April23__1___1[[#This Row],[Month]])</f>
        <v>2015-July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v>133.1</v>
      </c>
      <c r="S93">
        <v>123.5</v>
      </c>
      <c r="T93">
        <v>117.9</v>
      </c>
      <c r="U93">
        <v>122.7</v>
      </c>
      <c r="V93"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</row>
    <row r="94" spans="1:31" x14ac:dyDescent="0.3">
      <c r="A94" t="s">
        <v>49</v>
      </c>
      <c r="B94">
        <v>2015</v>
      </c>
      <c r="C94" t="s">
        <v>55</v>
      </c>
      <c r="D94" t="str">
        <f>_xlfn.CONCAT(All_India_Index_Upto_April23__1___1[[#This Row],[Year]],"-",All_India_Index_Upto_April23__1___1[[#This Row],[Month]])</f>
        <v>2015-July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v>130.4</v>
      </c>
      <c r="S94">
        <v>126.7</v>
      </c>
      <c r="T94">
        <v>122.3</v>
      </c>
      <c r="U94">
        <v>126.1</v>
      </c>
      <c r="V94"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</row>
    <row r="95" spans="1:31" x14ac:dyDescent="0.3">
      <c r="A95" t="s">
        <v>46</v>
      </c>
      <c r="B95">
        <v>2015</v>
      </c>
      <c r="C95" t="s">
        <v>56</v>
      </c>
      <c r="D95" t="str">
        <f>_xlfn.CONCAT(All_India_Index_Upto_April23__1___1[[#This Row],[Year]],"-",All_India_Index_Upto_April23__1___1[[#This Row],[Month]])</f>
        <v>2015-August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v>130.1</v>
      </c>
      <c r="S95">
        <v>129.5</v>
      </c>
      <c r="T95">
        <v>126.3</v>
      </c>
      <c r="U95">
        <v>129</v>
      </c>
      <c r="V95">
        <v>120.9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</row>
    <row r="96" spans="1:31" x14ac:dyDescent="0.3">
      <c r="A96" t="s">
        <v>48</v>
      </c>
      <c r="B96">
        <v>2015</v>
      </c>
      <c r="C96" t="s">
        <v>56</v>
      </c>
      <c r="D96" t="str">
        <f>_xlfn.CONCAT(All_India_Index_Upto_April23__1___1[[#This Row],[Year]],"-",All_India_Index_Upto_April23__1___1[[#This Row],[Month]])</f>
        <v>2015-August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v>134.19999999999999</v>
      </c>
      <c r="S96">
        <v>123.7</v>
      </c>
      <c r="T96">
        <v>118.2</v>
      </c>
      <c r="U96">
        <v>122.9</v>
      </c>
      <c r="V96"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</row>
    <row r="97" spans="1:31" x14ac:dyDescent="0.3">
      <c r="A97" t="s">
        <v>49</v>
      </c>
      <c r="B97">
        <v>2015</v>
      </c>
      <c r="C97" t="s">
        <v>56</v>
      </c>
      <c r="D97" t="str">
        <f>_xlfn.CONCAT(All_India_Index_Upto_April23__1___1[[#This Row],[Year]],"-",All_India_Index_Upto_April23__1___1[[#This Row],[Month]])</f>
        <v>2015-August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v>131.19999999999999</v>
      </c>
      <c r="S97">
        <v>127.2</v>
      </c>
      <c r="T97">
        <v>122.9</v>
      </c>
      <c r="U97">
        <v>126.6</v>
      </c>
      <c r="V97"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</row>
    <row r="98" spans="1:31" x14ac:dyDescent="0.3">
      <c r="A98" t="s">
        <v>46</v>
      </c>
      <c r="B98">
        <v>2015</v>
      </c>
      <c r="C98" t="s">
        <v>57</v>
      </c>
      <c r="D98" t="str">
        <f>_xlfn.CONCAT(All_India_Index_Upto_April23__1___1[[#This Row],[Year]],"-",All_India_Index_Upto_April23__1___1[[#This Row],[Month]])</f>
        <v>2015-September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v>131</v>
      </c>
      <c r="S98">
        <v>130.4</v>
      </c>
      <c r="T98">
        <v>126.8</v>
      </c>
      <c r="U98">
        <v>129.9</v>
      </c>
      <c r="V98">
        <v>121.6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</row>
    <row r="99" spans="1:31" x14ac:dyDescent="0.3">
      <c r="A99" t="s">
        <v>48</v>
      </c>
      <c r="B99">
        <v>2015</v>
      </c>
      <c r="C99" t="s">
        <v>57</v>
      </c>
      <c r="D99" t="str">
        <f>_xlfn.CONCAT(All_India_Index_Upto_April23__1___1[[#This Row],[Year]],"-",All_India_Index_Upto_April23__1___1[[#This Row],[Month]])</f>
        <v>2015-September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v>134.69999999999999</v>
      </c>
      <c r="S99">
        <v>124</v>
      </c>
      <c r="T99">
        <v>118.6</v>
      </c>
      <c r="U99">
        <v>123.2</v>
      </c>
      <c r="V99"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</row>
    <row r="100" spans="1:31" x14ac:dyDescent="0.3">
      <c r="A100" t="s">
        <v>49</v>
      </c>
      <c r="B100">
        <v>2015</v>
      </c>
      <c r="C100" t="s">
        <v>57</v>
      </c>
      <c r="D100" t="str">
        <f>_xlfn.CONCAT(All_India_Index_Upto_April23__1___1[[#This Row],[Year]],"-",All_India_Index_Upto_April23__1___1[[#This Row],[Month]])</f>
        <v>2015-September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v>132</v>
      </c>
      <c r="S100">
        <v>127.9</v>
      </c>
      <c r="T100">
        <v>123.4</v>
      </c>
      <c r="U100">
        <v>127.2</v>
      </c>
      <c r="V100"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</row>
    <row r="101" spans="1:31" x14ac:dyDescent="0.3">
      <c r="A101" t="s">
        <v>46</v>
      </c>
      <c r="B101">
        <v>2015</v>
      </c>
      <c r="C101" t="s">
        <v>58</v>
      </c>
      <c r="D101" t="str">
        <f>_xlfn.CONCAT(All_India_Index_Upto_April23__1___1[[#This Row],[Year]],"-",All_India_Index_Upto_April23__1___1[[#This Row],[Month]])</f>
        <v>2015-October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v>131.5</v>
      </c>
      <c r="S101">
        <v>131.1</v>
      </c>
      <c r="T101">
        <v>127.3</v>
      </c>
      <c r="U101">
        <v>130.6</v>
      </c>
      <c r="V101">
        <v>122.4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</row>
    <row r="102" spans="1:31" x14ac:dyDescent="0.3">
      <c r="A102" t="s">
        <v>48</v>
      </c>
      <c r="B102">
        <v>2015</v>
      </c>
      <c r="C102" t="s">
        <v>58</v>
      </c>
      <c r="D102" t="str">
        <f>_xlfn.CONCAT(All_India_Index_Upto_April23__1___1[[#This Row],[Year]],"-",All_India_Index_Upto_April23__1___1[[#This Row],[Month]])</f>
        <v>2015-October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v>135.30000000000001</v>
      </c>
      <c r="S102">
        <v>124.4</v>
      </c>
      <c r="T102">
        <v>118.8</v>
      </c>
      <c r="U102">
        <v>123.6</v>
      </c>
      <c r="V102"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</row>
    <row r="103" spans="1:31" x14ac:dyDescent="0.3">
      <c r="A103" t="s">
        <v>49</v>
      </c>
      <c r="B103">
        <v>2015</v>
      </c>
      <c r="C103" t="s">
        <v>58</v>
      </c>
      <c r="D103" t="str">
        <f>_xlfn.CONCAT(All_India_Index_Upto_April23__1___1[[#This Row],[Year]],"-",All_India_Index_Upto_April23__1___1[[#This Row],[Month]])</f>
        <v>2015-October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v>132.5</v>
      </c>
      <c r="S103">
        <v>128.5</v>
      </c>
      <c r="T103">
        <v>123.8</v>
      </c>
      <c r="U103">
        <v>127.8</v>
      </c>
      <c r="V103"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</row>
    <row r="104" spans="1:31" x14ac:dyDescent="0.3">
      <c r="A104" t="s">
        <v>46</v>
      </c>
      <c r="B104">
        <v>2015</v>
      </c>
      <c r="C104" t="s">
        <v>60</v>
      </c>
      <c r="D104" t="str">
        <f>_xlfn.CONCAT(All_India_Index_Upto_April23__1___1[[#This Row],[Year]],"-",All_India_Index_Upto_April23__1___1[[#This Row],[Month]])</f>
        <v>2015-November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v>132.19999999999999</v>
      </c>
      <c r="S104">
        <v>132.1</v>
      </c>
      <c r="T104">
        <v>128.19999999999999</v>
      </c>
      <c r="U104">
        <v>131.5</v>
      </c>
      <c r="V104">
        <v>122.9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</row>
    <row r="105" spans="1:31" x14ac:dyDescent="0.3">
      <c r="A105" t="s">
        <v>48</v>
      </c>
      <c r="B105">
        <v>2015</v>
      </c>
      <c r="C105" t="s">
        <v>60</v>
      </c>
      <c r="D105" t="str">
        <f>_xlfn.CONCAT(All_India_Index_Upto_April23__1___1[[#This Row],[Year]],"-",All_India_Index_Upto_April23__1___1[[#This Row],[Month]])</f>
        <v>2015-November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v>137.6</v>
      </c>
      <c r="S105">
        <v>125</v>
      </c>
      <c r="T105">
        <v>119.3</v>
      </c>
      <c r="U105">
        <v>124.2</v>
      </c>
      <c r="V105"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</row>
    <row r="106" spans="1:31" x14ac:dyDescent="0.3">
      <c r="A106" t="s">
        <v>49</v>
      </c>
      <c r="B106">
        <v>2015</v>
      </c>
      <c r="C106" t="s">
        <v>60</v>
      </c>
      <c r="D106" t="str">
        <f>_xlfn.CONCAT(All_India_Index_Upto_April23__1___1[[#This Row],[Year]],"-",All_India_Index_Upto_April23__1___1[[#This Row],[Month]])</f>
        <v>2015-November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v>133.6</v>
      </c>
      <c r="S106">
        <v>129.30000000000001</v>
      </c>
      <c r="T106">
        <v>124.5</v>
      </c>
      <c r="U106">
        <v>128.6</v>
      </c>
      <c r="V106"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</row>
    <row r="107" spans="1:31" x14ac:dyDescent="0.3">
      <c r="A107" t="s">
        <v>46</v>
      </c>
      <c r="B107">
        <v>2015</v>
      </c>
      <c r="C107" t="s">
        <v>61</v>
      </c>
      <c r="D107" t="str">
        <f>_xlfn.CONCAT(All_India_Index_Upto_April23__1___1[[#This Row],[Year]],"-",All_India_Index_Upto_April23__1___1[[#This Row],[Month]])</f>
        <v>2015-December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v>133.1</v>
      </c>
      <c r="S107">
        <v>132.5</v>
      </c>
      <c r="T107">
        <v>128.5</v>
      </c>
      <c r="U107">
        <v>131.9</v>
      </c>
      <c r="V107">
        <v>122.4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</row>
    <row r="108" spans="1:31" x14ac:dyDescent="0.3">
      <c r="A108" t="s">
        <v>48</v>
      </c>
      <c r="B108">
        <v>2015</v>
      </c>
      <c r="C108" t="s">
        <v>61</v>
      </c>
      <c r="D108" t="str">
        <f>_xlfn.CONCAT(All_India_Index_Upto_April23__1___1[[#This Row],[Year]],"-",All_India_Index_Upto_April23__1___1[[#This Row],[Month]])</f>
        <v>2015-December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v>138.19999999999999</v>
      </c>
      <c r="S108">
        <v>125.4</v>
      </c>
      <c r="T108">
        <v>119.5</v>
      </c>
      <c r="U108">
        <v>124.5</v>
      </c>
      <c r="V108"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</row>
    <row r="109" spans="1:31" x14ac:dyDescent="0.3">
      <c r="A109" t="s">
        <v>49</v>
      </c>
      <c r="B109">
        <v>2015</v>
      </c>
      <c r="C109" t="s">
        <v>61</v>
      </c>
      <c r="D109" t="str">
        <f>_xlfn.CONCAT(All_India_Index_Upto_April23__1___1[[#This Row],[Year]],"-",All_India_Index_Upto_April23__1___1[[#This Row],[Month]])</f>
        <v>2015-December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v>134.5</v>
      </c>
      <c r="S109">
        <v>129.69999999999999</v>
      </c>
      <c r="T109">
        <v>124.8</v>
      </c>
      <c r="U109">
        <v>129</v>
      </c>
      <c r="V109"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</row>
    <row r="110" spans="1:31" x14ac:dyDescent="0.3">
      <c r="A110" t="s">
        <v>46</v>
      </c>
      <c r="B110">
        <v>2016</v>
      </c>
      <c r="C110" t="s">
        <v>47</v>
      </c>
      <c r="D110" t="str">
        <f>_xlfn.CONCAT(All_India_Index_Upto_April23__1___1[[#This Row],[Year]],"-",All_India_Index_Upto_April23__1___1[[#This Row],[Month]])</f>
        <v>2016-January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v>133.6</v>
      </c>
      <c r="S110">
        <v>133.19999999999999</v>
      </c>
      <c r="T110">
        <v>128.9</v>
      </c>
      <c r="U110">
        <v>132.6</v>
      </c>
      <c r="V110">
        <v>123.4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</row>
    <row r="111" spans="1:31" x14ac:dyDescent="0.3">
      <c r="A111" t="s">
        <v>48</v>
      </c>
      <c r="B111">
        <v>2016</v>
      </c>
      <c r="C111" t="s">
        <v>47</v>
      </c>
      <c r="D111" t="str">
        <f>_xlfn.CONCAT(All_India_Index_Upto_April23__1___1[[#This Row],[Year]],"-",All_India_Index_Upto_April23__1___1[[#This Row],[Month]])</f>
        <v>2016-January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v>139.5</v>
      </c>
      <c r="S111">
        <v>125.8</v>
      </c>
      <c r="T111">
        <v>119.8</v>
      </c>
      <c r="U111">
        <v>124.9</v>
      </c>
      <c r="V111"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</row>
    <row r="112" spans="1:31" x14ac:dyDescent="0.3">
      <c r="A112" t="s">
        <v>49</v>
      </c>
      <c r="B112">
        <v>2016</v>
      </c>
      <c r="C112" t="s">
        <v>47</v>
      </c>
      <c r="D112" t="str">
        <f>_xlfn.CONCAT(All_India_Index_Upto_April23__1___1[[#This Row],[Year]],"-",All_India_Index_Upto_April23__1___1[[#This Row],[Month]])</f>
        <v>2016-January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v>135.19999999999999</v>
      </c>
      <c r="S112">
        <v>130.30000000000001</v>
      </c>
      <c r="T112">
        <v>125.1</v>
      </c>
      <c r="U112">
        <v>129.5</v>
      </c>
      <c r="V112"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</row>
    <row r="113" spans="1:31" x14ac:dyDescent="0.3">
      <c r="A113" t="s">
        <v>46</v>
      </c>
      <c r="B113">
        <v>2016</v>
      </c>
      <c r="C113" t="s">
        <v>50</v>
      </c>
      <c r="D113" t="str">
        <f>_xlfn.CONCAT(All_India_Index_Upto_April23__1___1[[#This Row],[Year]],"-",All_India_Index_Upto_April23__1___1[[#This Row],[Month]])</f>
        <v>2016-February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v>134.4</v>
      </c>
      <c r="S113">
        <v>133.9</v>
      </c>
      <c r="T113">
        <v>129.80000000000001</v>
      </c>
      <c r="U113">
        <v>133.4</v>
      </c>
      <c r="V113">
        <v>124.4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</row>
    <row r="114" spans="1:31" x14ac:dyDescent="0.3">
      <c r="A114" t="s">
        <v>48</v>
      </c>
      <c r="B114">
        <v>2016</v>
      </c>
      <c r="C114" t="s">
        <v>50</v>
      </c>
      <c r="D114" t="str">
        <f>_xlfn.CONCAT(All_India_Index_Upto_April23__1___1[[#This Row],[Year]],"-",All_India_Index_Upto_April23__1___1[[#This Row],[Month]])</f>
        <v>2016-February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v>140</v>
      </c>
      <c r="S114">
        <v>126.2</v>
      </c>
      <c r="T114">
        <v>120.1</v>
      </c>
      <c r="U114">
        <v>125.3</v>
      </c>
      <c r="V114"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</row>
    <row r="115" spans="1:31" x14ac:dyDescent="0.3">
      <c r="A115" t="s">
        <v>49</v>
      </c>
      <c r="B115">
        <v>2016</v>
      </c>
      <c r="C115" t="s">
        <v>50</v>
      </c>
      <c r="D115" t="str">
        <f>_xlfn.CONCAT(All_India_Index_Upto_April23__1___1[[#This Row],[Year]],"-",All_India_Index_Upto_April23__1___1[[#This Row],[Month]])</f>
        <v>2016-February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v>135.9</v>
      </c>
      <c r="S115">
        <v>130.9</v>
      </c>
      <c r="T115">
        <v>125.8</v>
      </c>
      <c r="U115">
        <v>130.19999999999999</v>
      </c>
      <c r="V115"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</row>
    <row r="116" spans="1:31" x14ac:dyDescent="0.3">
      <c r="A116" t="s">
        <v>46</v>
      </c>
      <c r="B116">
        <v>2016</v>
      </c>
      <c r="C116" t="s">
        <v>51</v>
      </c>
      <c r="D116" t="str">
        <f>_xlfn.CONCAT(All_India_Index_Upto_April23__1___1[[#This Row],[Year]],"-",All_India_Index_Upto_April23__1___1[[#This Row],[Month]])</f>
        <v>2016-March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v>135</v>
      </c>
      <c r="S116">
        <v>134.4</v>
      </c>
      <c r="T116">
        <v>130.19999999999999</v>
      </c>
      <c r="U116">
        <v>133.80000000000001</v>
      </c>
      <c r="V116">
        <v>124.9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</row>
    <row r="117" spans="1:31" x14ac:dyDescent="0.3">
      <c r="A117" t="s">
        <v>48</v>
      </c>
      <c r="B117">
        <v>2016</v>
      </c>
      <c r="C117" t="s">
        <v>51</v>
      </c>
      <c r="D117" t="str">
        <f>_xlfn.CONCAT(All_India_Index_Upto_April23__1___1[[#This Row],[Year]],"-",All_India_Index_Upto_April23__1___1[[#This Row],[Month]])</f>
        <v>2016-March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v>140.6</v>
      </c>
      <c r="S117">
        <v>126.4</v>
      </c>
      <c r="T117">
        <v>120.3</v>
      </c>
      <c r="U117">
        <v>125.5</v>
      </c>
      <c r="V117"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</row>
    <row r="118" spans="1:31" x14ac:dyDescent="0.3">
      <c r="A118" t="s">
        <v>49</v>
      </c>
      <c r="B118">
        <v>2016</v>
      </c>
      <c r="C118" t="s">
        <v>51</v>
      </c>
      <c r="D118" t="str">
        <f>_xlfn.CONCAT(All_India_Index_Upto_April23__1___1[[#This Row],[Year]],"-",All_India_Index_Upto_April23__1___1[[#This Row],[Month]])</f>
        <v>2016-March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v>136.5</v>
      </c>
      <c r="S118">
        <v>131.30000000000001</v>
      </c>
      <c r="T118">
        <v>126.1</v>
      </c>
      <c r="U118">
        <v>130.5</v>
      </c>
      <c r="V118"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</row>
    <row r="119" spans="1:31" x14ac:dyDescent="0.3">
      <c r="A119" t="s">
        <v>46</v>
      </c>
      <c r="B119">
        <v>2016</v>
      </c>
      <c r="C119" t="s">
        <v>52</v>
      </c>
      <c r="D119" t="str">
        <f>_xlfn.CONCAT(All_India_Index_Upto_April23__1___1[[#This Row],[Year]],"-",All_India_Index_Upto_April23__1___1[[#This Row],[Month]])</f>
        <v>2016-April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v>135.5</v>
      </c>
      <c r="S119">
        <v>135</v>
      </c>
      <c r="T119">
        <v>130.6</v>
      </c>
      <c r="U119">
        <v>134.4</v>
      </c>
      <c r="V119">
        <v>125.6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</row>
    <row r="120" spans="1:31" x14ac:dyDescent="0.3">
      <c r="A120" t="s">
        <v>48</v>
      </c>
      <c r="B120">
        <v>2016</v>
      </c>
      <c r="C120" t="s">
        <v>52</v>
      </c>
      <c r="D120" t="str">
        <f>_xlfn.CONCAT(All_India_Index_Upto_April23__1___1[[#This Row],[Year]],"-",All_India_Index_Upto_April23__1___1[[#This Row],[Month]])</f>
        <v>2016-April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v>141.5</v>
      </c>
      <c r="S120">
        <v>126.8</v>
      </c>
      <c r="T120">
        <v>120.5</v>
      </c>
      <c r="U120">
        <v>125.8</v>
      </c>
      <c r="V120"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</row>
    <row r="121" spans="1:31" x14ac:dyDescent="0.3">
      <c r="A121" t="s">
        <v>49</v>
      </c>
      <c r="B121">
        <v>2016</v>
      </c>
      <c r="C121" t="s">
        <v>52</v>
      </c>
      <c r="D121" t="str">
        <f>_xlfn.CONCAT(All_India_Index_Upto_April23__1___1[[#This Row],[Year]],"-",All_India_Index_Upto_April23__1___1[[#This Row],[Month]])</f>
        <v>2016-April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v>137.1</v>
      </c>
      <c r="S121">
        <v>131.80000000000001</v>
      </c>
      <c r="T121">
        <v>126.4</v>
      </c>
      <c r="U121">
        <v>131</v>
      </c>
      <c r="V121"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</row>
    <row r="122" spans="1:31" x14ac:dyDescent="0.3">
      <c r="A122" t="s">
        <v>46</v>
      </c>
      <c r="B122">
        <v>2016</v>
      </c>
      <c r="C122" t="s">
        <v>53</v>
      </c>
      <c r="D122" t="str">
        <f>_xlfn.CONCAT(All_India_Index_Upto_April23__1___1[[#This Row],[Year]],"-",All_India_Index_Upto_April23__1___1[[#This Row],[Month]])</f>
        <v>2016-May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v>136</v>
      </c>
      <c r="S122">
        <v>135.4</v>
      </c>
      <c r="T122">
        <v>131.1</v>
      </c>
      <c r="U122">
        <v>134.80000000000001</v>
      </c>
      <c r="V122">
        <v>126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</row>
    <row r="123" spans="1:31" x14ac:dyDescent="0.3">
      <c r="A123" t="s">
        <v>48</v>
      </c>
      <c r="B123">
        <v>2016</v>
      </c>
      <c r="C123" t="s">
        <v>53</v>
      </c>
      <c r="D123" t="str">
        <f>_xlfn.CONCAT(All_India_Index_Upto_April23__1___1[[#This Row],[Year]],"-",All_India_Index_Upto_April23__1___1[[#This Row],[Month]])</f>
        <v>2016-May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v>142.19999999999999</v>
      </c>
      <c r="S123">
        <v>127.2</v>
      </c>
      <c r="T123">
        <v>120.7</v>
      </c>
      <c r="U123">
        <v>126.2</v>
      </c>
      <c r="V123"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</row>
    <row r="124" spans="1:31" x14ac:dyDescent="0.3">
      <c r="A124" t="s">
        <v>49</v>
      </c>
      <c r="B124">
        <v>2016</v>
      </c>
      <c r="C124" t="s">
        <v>53</v>
      </c>
      <c r="D124" t="str">
        <f>_xlfn.CONCAT(All_India_Index_Upto_April23__1___1[[#This Row],[Year]],"-",All_India_Index_Upto_April23__1___1[[#This Row],[Month]])</f>
        <v>2016-May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v>137.69999999999999</v>
      </c>
      <c r="S124">
        <v>132.19999999999999</v>
      </c>
      <c r="T124">
        <v>126.8</v>
      </c>
      <c r="U124">
        <v>131.4</v>
      </c>
      <c r="V124"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</row>
    <row r="125" spans="1:31" x14ac:dyDescent="0.3">
      <c r="A125" t="s">
        <v>46</v>
      </c>
      <c r="B125">
        <v>2016</v>
      </c>
      <c r="C125" t="s">
        <v>54</v>
      </c>
      <c r="D125" t="str">
        <f>_xlfn.CONCAT(All_India_Index_Upto_April23__1___1[[#This Row],[Year]],"-",All_India_Index_Upto_April23__1___1[[#This Row],[Month]])</f>
        <v>2016-June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v>137.19999999999999</v>
      </c>
      <c r="S125">
        <v>136.30000000000001</v>
      </c>
      <c r="T125">
        <v>131.6</v>
      </c>
      <c r="U125">
        <v>135.6</v>
      </c>
      <c r="V125">
        <v>125.5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</row>
    <row r="126" spans="1:31" x14ac:dyDescent="0.3">
      <c r="A126" t="s">
        <v>48</v>
      </c>
      <c r="B126">
        <v>2016</v>
      </c>
      <c r="C126" t="s">
        <v>54</v>
      </c>
      <c r="D126" t="str">
        <f>_xlfn.CONCAT(All_India_Index_Upto_April23__1___1[[#This Row],[Year]],"-",All_India_Index_Upto_April23__1___1[[#This Row],[Month]])</f>
        <v>2016-June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v>142.69999999999999</v>
      </c>
      <c r="S126">
        <v>127.6</v>
      </c>
      <c r="T126">
        <v>121.1</v>
      </c>
      <c r="U126">
        <v>126.6</v>
      </c>
      <c r="V126"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</row>
    <row r="127" spans="1:31" x14ac:dyDescent="0.3">
      <c r="A127" t="s">
        <v>49</v>
      </c>
      <c r="B127">
        <v>2016</v>
      </c>
      <c r="C127" t="s">
        <v>54</v>
      </c>
      <c r="D127" t="str">
        <f>_xlfn.CONCAT(All_India_Index_Upto_April23__1___1[[#This Row],[Year]],"-",All_India_Index_Upto_April23__1___1[[#This Row],[Month]])</f>
        <v>2016-June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v>138.69999999999999</v>
      </c>
      <c r="S127">
        <v>132.9</v>
      </c>
      <c r="T127">
        <v>127.2</v>
      </c>
      <c r="U127">
        <v>132</v>
      </c>
      <c r="V127"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</row>
    <row r="128" spans="1:31" x14ac:dyDescent="0.3">
      <c r="A128" t="s">
        <v>46</v>
      </c>
      <c r="B128">
        <v>2016</v>
      </c>
      <c r="C128" t="s">
        <v>55</v>
      </c>
      <c r="D128" t="str">
        <f>_xlfn.CONCAT(All_India_Index_Upto_April23__1___1[[#This Row],[Year]],"-",All_India_Index_Upto_April23__1___1[[#This Row],[Month]])</f>
        <v>2016-July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v>138</v>
      </c>
      <c r="S128">
        <v>137.19999999999999</v>
      </c>
      <c r="T128">
        <v>132.19999999999999</v>
      </c>
      <c r="U128">
        <v>136.5</v>
      </c>
      <c r="V128">
        <v>126.4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</row>
    <row r="129" spans="1:31" x14ac:dyDescent="0.3">
      <c r="A129" t="s">
        <v>48</v>
      </c>
      <c r="B129">
        <v>2016</v>
      </c>
      <c r="C129" t="s">
        <v>55</v>
      </c>
      <c r="D129" t="str">
        <f>_xlfn.CONCAT(All_India_Index_Upto_April23__1___1[[#This Row],[Year]],"-",All_India_Index_Upto_April23__1___1[[#This Row],[Month]])</f>
        <v>2016-July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v>142.9</v>
      </c>
      <c r="S129">
        <v>127.9</v>
      </c>
      <c r="T129">
        <v>121.1</v>
      </c>
      <c r="U129">
        <v>126.9</v>
      </c>
      <c r="V129"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</row>
    <row r="130" spans="1:31" x14ac:dyDescent="0.3">
      <c r="A130" t="s">
        <v>49</v>
      </c>
      <c r="B130">
        <v>2016</v>
      </c>
      <c r="C130" t="s">
        <v>55</v>
      </c>
      <c r="D130" t="str">
        <f>_xlfn.CONCAT(All_India_Index_Upto_April23__1___1[[#This Row],[Year]],"-",All_India_Index_Upto_April23__1___1[[#This Row],[Month]])</f>
        <v>2016-July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v>139.30000000000001</v>
      </c>
      <c r="S130">
        <v>133.5</v>
      </c>
      <c r="T130">
        <v>127.6</v>
      </c>
      <c r="U130">
        <v>132.69999999999999</v>
      </c>
      <c r="V130"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</row>
    <row r="131" spans="1:31" x14ac:dyDescent="0.3">
      <c r="A131" t="s">
        <v>46</v>
      </c>
      <c r="B131">
        <v>2016</v>
      </c>
      <c r="C131" t="s">
        <v>56</v>
      </c>
      <c r="D131" t="str">
        <f>_xlfn.CONCAT(All_India_Index_Upto_April23__1___1[[#This Row],[Year]],"-",All_India_Index_Upto_April23__1___1[[#This Row],[Month]])</f>
        <v>2016-August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v>138.9</v>
      </c>
      <c r="S131">
        <v>137.80000000000001</v>
      </c>
      <c r="T131">
        <v>133</v>
      </c>
      <c r="U131">
        <v>137.1</v>
      </c>
      <c r="V131">
        <v>127.3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</row>
    <row r="132" spans="1:31" x14ac:dyDescent="0.3">
      <c r="A132" t="s">
        <v>48</v>
      </c>
      <c r="B132">
        <v>2016</v>
      </c>
      <c r="C132" t="s">
        <v>56</v>
      </c>
      <c r="D132" t="str">
        <f>_xlfn.CONCAT(All_India_Index_Upto_April23__1___1[[#This Row],[Year]],"-",All_India_Index_Upto_April23__1___1[[#This Row],[Month]])</f>
        <v>2016-August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v>143.6</v>
      </c>
      <c r="S132">
        <v>128.30000000000001</v>
      </c>
      <c r="T132">
        <v>121.4</v>
      </c>
      <c r="U132">
        <v>127.3</v>
      </c>
      <c r="V132"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</row>
    <row r="133" spans="1:31" x14ac:dyDescent="0.3">
      <c r="A133" t="s">
        <v>49</v>
      </c>
      <c r="B133">
        <v>2016</v>
      </c>
      <c r="C133" t="s">
        <v>56</v>
      </c>
      <c r="D133" t="str">
        <f>_xlfn.CONCAT(All_India_Index_Upto_April23__1___1[[#This Row],[Year]],"-",All_India_Index_Upto_April23__1___1[[#This Row],[Month]])</f>
        <v>2016-August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v>140.19999999999999</v>
      </c>
      <c r="S133">
        <v>134.1</v>
      </c>
      <c r="T133">
        <v>128.19999999999999</v>
      </c>
      <c r="U133">
        <v>133.19999999999999</v>
      </c>
      <c r="V133"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</row>
    <row r="134" spans="1:31" x14ac:dyDescent="0.3">
      <c r="A134" t="s">
        <v>46</v>
      </c>
      <c r="B134">
        <v>2016</v>
      </c>
      <c r="C134" t="s">
        <v>57</v>
      </c>
      <c r="D134" t="str">
        <f>_xlfn.CONCAT(All_India_Index_Upto_April23__1___1[[#This Row],[Year]],"-",All_India_Index_Upto_April23__1___1[[#This Row],[Month]])</f>
        <v>2016-September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v>139.9</v>
      </c>
      <c r="S134">
        <v>138.5</v>
      </c>
      <c r="T134">
        <v>133.5</v>
      </c>
      <c r="U134">
        <v>137.80000000000001</v>
      </c>
      <c r="V134">
        <v>127.9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</row>
    <row r="135" spans="1:31" x14ac:dyDescent="0.3">
      <c r="A135" t="s">
        <v>48</v>
      </c>
      <c r="B135">
        <v>2016</v>
      </c>
      <c r="C135" t="s">
        <v>57</v>
      </c>
      <c r="D135" t="str">
        <f>_xlfn.CONCAT(All_India_Index_Upto_April23__1___1[[#This Row],[Year]],"-",All_India_Index_Upto_April23__1___1[[#This Row],[Month]])</f>
        <v>2016-September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v>143.9</v>
      </c>
      <c r="S135">
        <v>128.69999999999999</v>
      </c>
      <c r="T135">
        <v>121.6</v>
      </c>
      <c r="U135">
        <v>127.7</v>
      </c>
      <c r="V135"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</row>
    <row r="136" spans="1:31" x14ac:dyDescent="0.3">
      <c r="A136" t="s">
        <v>49</v>
      </c>
      <c r="B136">
        <v>2016</v>
      </c>
      <c r="C136" t="s">
        <v>57</v>
      </c>
      <c r="D136" t="str">
        <f>_xlfn.CONCAT(All_India_Index_Upto_April23__1___1[[#This Row],[Year]],"-",All_India_Index_Upto_April23__1___1[[#This Row],[Month]])</f>
        <v>2016-September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v>141</v>
      </c>
      <c r="S136">
        <v>134.6</v>
      </c>
      <c r="T136">
        <v>128.6</v>
      </c>
      <c r="U136">
        <v>133.80000000000001</v>
      </c>
      <c r="V136"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</row>
    <row r="137" spans="1:31" x14ac:dyDescent="0.3">
      <c r="A137" t="s">
        <v>46</v>
      </c>
      <c r="B137">
        <v>2016</v>
      </c>
      <c r="C137" t="s">
        <v>58</v>
      </c>
      <c r="D137" t="str">
        <f>_xlfn.CONCAT(All_India_Index_Upto_April23__1___1[[#This Row],[Year]],"-",All_India_Index_Upto_April23__1___1[[#This Row],[Month]])</f>
        <v>2016-October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v>140.9</v>
      </c>
      <c r="S137">
        <v>139.6</v>
      </c>
      <c r="T137">
        <v>134.30000000000001</v>
      </c>
      <c r="U137">
        <v>138.80000000000001</v>
      </c>
      <c r="V137">
        <v>128.69999999999999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</row>
    <row r="138" spans="1:31" x14ac:dyDescent="0.3">
      <c r="A138" t="s">
        <v>48</v>
      </c>
      <c r="B138">
        <v>2016</v>
      </c>
      <c r="C138" t="s">
        <v>58</v>
      </c>
      <c r="D138" t="str">
        <f>_xlfn.CONCAT(All_India_Index_Upto_April23__1___1[[#This Row],[Year]],"-",All_India_Index_Upto_April23__1___1[[#This Row],[Month]])</f>
        <v>2016-October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v>144.30000000000001</v>
      </c>
      <c r="S138">
        <v>129.1</v>
      </c>
      <c r="T138">
        <v>121.9</v>
      </c>
      <c r="U138">
        <v>128</v>
      </c>
      <c r="V138"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</row>
    <row r="139" spans="1:31" x14ac:dyDescent="0.3">
      <c r="A139" t="s">
        <v>49</v>
      </c>
      <c r="B139">
        <v>2016</v>
      </c>
      <c r="C139" t="s">
        <v>58</v>
      </c>
      <c r="D139" t="str">
        <f>_xlfn.CONCAT(All_India_Index_Upto_April23__1___1[[#This Row],[Year]],"-",All_India_Index_Upto_April23__1___1[[#This Row],[Month]])</f>
        <v>2016-October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v>141.80000000000001</v>
      </c>
      <c r="S139">
        <v>135.5</v>
      </c>
      <c r="T139">
        <v>129.1</v>
      </c>
      <c r="U139">
        <v>134.5</v>
      </c>
      <c r="V139"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</row>
    <row r="140" spans="1:31" x14ac:dyDescent="0.3">
      <c r="A140" t="s">
        <v>46</v>
      </c>
      <c r="B140">
        <v>2016</v>
      </c>
      <c r="C140" t="s">
        <v>60</v>
      </c>
      <c r="D140" t="str">
        <f>_xlfn.CONCAT(All_India_Index_Upto_April23__1___1[[#This Row],[Year]],"-",All_India_Index_Upto_April23__1___1[[#This Row],[Month]])</f>
        <v>2016-November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v>141.19999999999999</v>
      </c>
      <c r="S140">
        <v>139.9</v>
      </c>
      <c r="T140">
        <v>134.5</v>
      </c>
      <c r="U140">
        <v>139.19999999999999</v>
      </c>
      <c r="V140">
        <v>129.1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</row>
    <row r="141" spans="1:31" x14ac:dyDescent="0.3">
      <c r="A141" t="s">
        <v>48</v>
      </c>
      <c r="B141">
        <v>2016</v>
      </c>
      <c r="C141" t="s">
        <v>60</v>
      </c>
      <c r="D141" t="str">
        <f>_xlfn.CONCAT(All_India_Index_Upto_April23__1___1[[#This Row],[Year]],"-",All_India_Index_Upto_April23__1___1[[#This Row],[Month]])</f>
        <v>2016-November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v>144.30000000000001</v>
      </c>
      <c r="S141">
        <v>129.6</v>
      </c>
      <c r="T141">
        <v>122.1</v>
      </c>
      <c r="U141">
        <v>128.5</v>
      </c>
      <c r="V141"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</row>
    <row r="142" spans="1:31" x14ac:dyDescent="0.3">
      <c r="A142" t="s">
        <v>49</v>
      </c>
      <c r="B142">
        <v>2016</v>
      </c>
      <c r="C142" t="s">
        <v>60</v>
      </c>
      <c r="D142" t="str">
        <f>_xlfn.CONCAT(All_India_Index_Upto_April23__1___1[[#This Row],[Year]],"-",All_India_Index_Upto_April23__1___1[[#This Row],[Month]])</f>
        <v>2016-November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v>142</v>
      </c>
      <c r="S142">
        <v>135.80000000000001</v>
      </c>
      <c r="T142">
        <v>129.30000000000001</v>
      </c>
      <c r="U142">
        <v>135</v>
      </c>
      <c r="V142"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</row>
    <row r="143" spans="1:31" x14ac:dyDescent="0.3">
      <c r="A143" t="s">
        <v>46</v>
      </c>
      <c r="B143">
        <v>2016</v>
      </c>
      <c r="C143" t="s">
        <v>61</v>
      </c>
      <c r="D143" t="str">
        <f>_xlfn.CONCAT(All_India_Index_Upto_April23__1___1[[#This Row],[Year]],"-",All_India_Index_Upto_April23__1___1[[#This Row],[Month]])</f>
        <v>2016-December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v>142.4</v>
      </c>
      <c r="S143">
        <v>140.4</v>
      </c>
      <c r="T143">
        <v>135.19999999999999</v>
      </c>
      <c r="U143">
        <v>139.69999999999999</v>
      </c>
      <c r="V143">
        <v>128.5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</row>
    <row r="144" spans="1:31" x14ac:dyDescent="0.3">
      <c r="A144" t="s">
        <v>48</v>
      </c>
      <c r="B144">
        <v>2016</v>
      </c>
      <c r="C144" t="s">
        <v>61</v>
      </c>
      <c r="D144" t="str">
        <f>_xlfn.CONCAT(All_India_Index_Upto_April23__1___1[[#This Row],[Year]],"-",All_India_Index_Upto_April23__1___1[[#This Row],[Month]])</f>
        <v>2016-December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v>145</v>
      </c>
      <c r="S144">
        <v>130</v>
      </c>
      <c r="T144">
        <v>122.2</v>
      </c>
      <c r="U144">
        <v>128.80000000000001</v>
      </c>
      <c r="V144"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</row>
    <row r="145" spans="1:31" x14ac:dyDescent="0.3">
      <c r="A145" t="s">
        <v>49</v>
      </c>
      <c r="B145">
        <v>2016</v>
      </c>
      <c r="C145" t="s">
        <v>61</v>
      </c>
      <c r="D145" t="str">
        <f>_xlfn.CONCAT(All_India_Index_Upto_April23__1___1[[#This Row],[Year]],"-",All_India_Index_Upto_April23__1___1[[#This Row],[Month]])</f>
        <v>2016-December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v>143.1</v>
      </c>
      <c r="S145">
        <v>136.30000000000001</v>
      </c>
      <c r="T145">
        <v>129.80000000000001</v>
      </c>
      <c r="U145">
        <v>135.4</v>
      </c>
      <c r="V145"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</row>
    <row r="146" spans="1:31" x14ac:dyDescent="0.3">
      <c r="A146" t="s">
        <v>46</v>
      </c>
      <c r="B146">
        <v>2017</v>
      </c>
      <c r="C146" t="s">
        <v>47</v>
      </c>
      <c r="D146" t="str">
        <f>_xlfn.CONCAT(All_India_Index_Upto_April23__1___1[[#This Row],[Year]],"-",All_India_Index_Upto_April23__1___1[[#This Row],[Month]])</f>
        <v>2017-January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v>143.1</v>
      </c>
      <c r="S146">
        <v>140.69999999999999</v>
      </c>
      <c r="T146">
        <v>135.80000000000001</v>
      </c>
      <c r="U146">
        <v>140</v>
      </c>
      <c r="V146">
        <v>129.6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</row>
    <row r="147" spans="1:31" x14ac:dyDescent="0.3">
      <c r="A147" t="s">
        <v>48</v>
      </c>
      <c r="B147">
        <v>2017</v>
      </c>
      <c r="C147" t="s">
        <v>47</v>
      </c>
      <c r="D147" t="str">
        <f>_xlfn.CONCAT(All_India_Index_Upto_April23__1___1[[#This Row],[Year]],"-",All_India_Index_Upto_April23__1___1[[#This Row],[Month]])</f>
        <v>2017-January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v>145.6</v>
      </c>
      <c r="S147">
        <v>130.19999999999999</v>
      </c>
      <c r="T147">
        <v>122.3</v>
      </c>
      <c r="U147">
        <v>129</v>
      </c>
      <c r="V147"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</row>
    <row r="148" spans="1:31" x14ac:dyDescent="0.3">
      <c r="A148" t="s">
        <v>49</v>
      </c>
      <c r="B148">
        <v>2017</v>
      </c>
      <c r="C148" t="s">
        <v>47</v>
      </c>
      <c r="D148" t="str">
        <f>_xlfn.CONCAT(All_India_Index_Upto_April23__1___1[[#This Row],[Year]],"-",All_India_Index_Upto_April23__1___1[[#This Row],[Month]])</f>
        <v>2017-January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v>143.80000000000001</v>
      </c>
      <c r="S148">
        <v>136.6</v>
      </c>
      <c r="T148">
        <v>130.19999999999999</v>
      </c>
      <c r="U148">
        <v>135.6</v>
      </c>
      <c r="V148"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</row>
    <row r="149" spans="1:31" x14ac:dyDescent="0.3">
      <c r="A149" t="s">
        <v>46</v>
      </c>
      <c r="B149">
        <v>2017</v>
      </c>
      <c r="C149" t="s">
        <v>50</v>
      </c>
      <c r="D149" t="str">
        <f>_xlfn.CONCAT(All_India_Index_Upto_April23__1___1[[#This Row],[Year]],"-",All_India_Index_Upto_April23__1___1[[#This Row],[Month]])</f>
        <v>2017-February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v>143.69999999999999</v>
      </c>
      <c r="S149">
        <v>140.9</v>
      </c>
      <c r="T149">
        <v>135.80000000000001</v>
      </c>
      <c r="U149">
        <v>140.19999999999999</v>
      </c>
      <c r="V149">
        <v>130.5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</row>
    <row r="150" spans="1:31" x14ac:dyDescent="0.3">
      <c r="A150" t="s">
        <v>48</v>
      </c>
      <c r="B150">
        <v>2017</v>
      </c>
      <c r="C150" t="s">
        <v>50</v>
      </c>
      <c r="D150" t="str">
        <f>_xlfn.CONCAT(All_India_Index_Upto_April23__1___1[[#This Row],[Year]],"-",All_India_Index_Upto_April23__1___1[[#This Row],[Month]])</f>
        <v>2017-February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v>146.30000000000001</v>
      </c>
      <c r="S150">
        <v>130.5</v>
      </c>
      <c r="T150">
        <v>122.5</v>
      </c>
      <c r="U150">
        <v>129.30000000000001</v>
      </c>
      <c r="V150"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</row>
    <row r="151" spans="1:31" x14ac:dyDescent="0.3">
      <c r="A151" t="s">
        <v>49</v>
      </c>
      <c r="B151">
        <v>2017</v>
      </c>
      <c r="C151" t="s">
        <v>50</v>
      </c>
      <c r="D151" t="str">
        <f>_xlfn.CONCAT(All_India_Index_Upto_April23__1___1[[#This Row],[Year]],"-",All_India_Index_Upto_April23__1___1[[#This Row],[Month]])</f>
        <v>2017-February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v>144.4</v>
      </c>
      <c r="S151">
        <v>136.80000000000001</v>
      </c>
      <c r="T151">
        <v>130.30000000000001</v>
      </c>
      <c r="U151">
        <v>135.9</v>
      </c>
      <c r="V151"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</row>
    <row r="152" spans="1:31" x14ac:dyDescent="0.3">
      <c r="A152" t="s">
        <v>46</v>
      </c>
      <c r="B152">
        <v>2017</v>
      </c>
      <c r="C152" t="s">
        <v>51</v>
      </c>
      <c r="D152" t="str">
        <f>_xlfn.CONCAT(All_India_Index_Upto_April23__1___1[[#This Row],[Year]],"-",All_India_Index_Upto_April23__1___1[[#This Row],[Month]])</f>
        <v>2017-March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v>144.19999999999999</v>
      </c>
      <c r="S152">
        <v>141.6</v>
      </c>
      <c r="T152">
        <v>136.19999999999999</v>
      </c>
      <c r="U152">
        <v>140.80000000000001</v>
      </c>
      <c r="V152">
        <v>131.1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</row>
    <row r="153" spans="1:31" x14ac:dyDescent="0.3">
      <c r="A153" t="s">
        <v>48</v>
      </c>
      <c r="B153">
        <v>2017</v>
      </c>
      <c r="C153" t="s">
        <v>51</v>
      </c>
      <c r="D153" t="str">
        <f>_xlfn.CONCAT(All_India_Index_Upto_April23__1___1[[#This Row],[Year]],"-",All_India_Index_Upto_April23__1___1[[#This Row],[Month]])</f>
        <v>2017-March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v>147.5</v>
      </c>
      <c r="S153">
        <v>130.80000000000001</v>
      </c>
      <c r="T153">
        <v>122.8</v>
      </c>
      <c r="U153">
        <v>129.6</v>
      </c>
      <c r="V153"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</row>
    <row r="154" spans="1:31" x14ac:dyDescent="0.3">
      <c r="A154" t="s">
        <v>49</v>
      </c>
      <c r="B154">
        <v>2017</v>
      </c>
      <c r="C154" t="s">
        <v>51</v>
      </c>
      <c r="D154" t="str">
        <f>_xlfn.CONCAT(All_India_Index_Upto_April23__1___1[[#This Row],[Year]],"-",All_India_Index_Upto_April23__1___1[[#This Row],[Month]])</f>
        <v>2017-March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v>145.1</v>
      </c>
      <c r="S154">
        <v>137.30000000000001</v>
      </c>
      <c r="T154">
        <v>130.6</v>
      </c>
      <c r="U154">
        <v>136.4</v>
      </c>
      <c r="V154"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</row>
    <row r="155" spans="1:31" x14ac:dyDescent="0.3">
      <c r="A155" t="s">
        <v>46</v>
      </c>
      <c r="B155">
        <v>2017</v>
      </c>
      <c r="C155" t="s">
        <v>52</v>
      </c>
      <c r="D155" t="str">
        <f>_xlfn.CONCAT(All_India_Index_Upto_April23__1___1[[#This Row],[Year]],"-",All_India_Index_Upto_April23__1___1[[#This Row],[Month]])</f>
        <v>2017-April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v>144.4</v>
      </c>
      <c r="S155">
        <v>142.4</v>
      </c>
      <c r="T155">
        <v>136.80000000000001</v>
      </c>
      <c r="U155">
        <v>141.6</v>
      </c>
      <c r="V155">
        <v>131.69999999999999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</row>
    <row r="156" spans="1:31" x14ac:dyDescent="0.3">
      <c r="A156" t="s">
        <v>48</v>
      </c>
      <c r="B156">
        <v>2017</v>
      </c>
      <c r="C156" t="s">
        <v>52</v>
      </c>
      <c r="D156" t="str">
        <f>_xlfn.CONCAT(All_India_Index_Upto_April23__1___1[[#This Row],[Year]],"-",All_India_Index_Upto_April23__1___1[[#This Row],[Month]])</f>
        <v>2017-April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v>148</v>
      </c>
      <c r="S156">
        <v>131.19999999999999</v>
      </c>
      <c r="T156">
        <v>123</v>
      </c>
      <c r="U156">
        <v>130</v>
      </c>
      <c r="V156"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</row>
    <row r="157" spans="1:31" x14ac:dyDescent="0.3">
      <c r="A157" t="s">
        <v>49</v>
      </c>
      <c r="B157">
        <v>2017</v>
      </c>
      <c r="C157" t="s">
        <v>52</v>
      </c>
      <c r="D157" t="str">
        <f>_xlfn.CONCAT(All_India_Index_Upto_April23__1___1[[#This Row],[Year]],"-",All_India_Index_Upto_April23__1___1[[#This Row],[Month]])</f>
        <v>2017-April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v>145.4</v>
      </c>
      <c r="S157">
        <v>138</v>
      </c>
      <c r="T157">
        <v>131.1</v>
      </c>
      <c r="U157">
        <v>137</v>
      </c>
      <c r="V157"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</row>
    <row r="158" spans="1:31" x14ac:dyDescent="0.3">
      <c r="A158" t="s">
        <v>46</v>
      </c>
      <c r="B158">
        <v>2017</v>
      </c>
      <c r="C158" t="s">
        <v>53</v>
      </c>
      <c r="D158" t="str">
        <f>_xlfn.CONCAT(All_India_Index_Upto_April23__1___1[[#This Row],[Year]],"-",All_India_Index_Upto_April23__1___1[[#This Row],[Month]])</f>
        <v>2017-May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v>145.5</v>
      </c>
      <c r="S158">
        <v>142.5</v>
      </c>
      <c r="T158">
        <v>137.30000000000001</v>
      </c>
      <c r="U158">
        <v>141.80000000000001</v>
      </c>
      <c r="V158">
        <v>132.1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</row>
    <row r="159" spans="1:31" x14ac:dyDescent="0.3">
      <c r="A159" t="s">
        <v>48</v>
      </c>
      <c r="B159">
        <v>2017</v>
      </c>
      <c r="C159" t="s">
        <v>53</v>
      </c>
      <c r="D159" t="str">
        <f>_xlfn.CONCAT(All_India_Index_Upto_April23__1___1[[#This Row],[Year]],"-",All_India_Index_Upto_April23__1___1[[#This Row],[Month]])</f>
        <v>2017-May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v>148.30000000000001</v>
      </c>
      <c r="S159">
        <v>131.5</v>
      </c>
      <c r="T159">
        <v>123.2</v>
      </c>
      <c r="U159">
        <v>130.19999999999999</v>
      </c>
      <c r="V159"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</row>
    <row r="160" spans="1:31" x14ac:dyDescent="0.3">
      <c r="A160" t="s">
        <v>49</v>
      </c>
      <c r="B160">
        <v>2017</v>
      </c>
      <c r="C160" t="s">
        <v>53</v>
      </c>
      <c r="D160" t="str">
        <f>_xlfn.CONCAT(All_India_Index_Upto_April23__1___1[[#This Row],[Year]],"-",All_India_Index_Upto_April23__1___1[[#This Row],[Month]])</f>
        <v>2017-May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v>146.19999999999999</v>
      </c>
      <c r="S160">
        <v>138.19999999999999</v>
      </c>
      <c r="T160">
        <v>131.4</v>
      </c>
      <c r="U160">
        <v>137.19999999999999</v>
      </c>
      <c r="V160"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</row>
    <row r="161" spans="1:31" x14ac:dyDescent="0.3">
      <c r="A161" t="s">
        <v>46</v>
      </c>
      <c r="B161">
        <v>2017</v>
      </c>
      <c r="C161" t="s">
        <v>54</v>
      </c>
      <c r="D161" t="str">
        <f>_xlfn.CONCAT(All_India_Index_Upto_April23__1___1[[#This Row],[Year]],"-",All_India_Index_Upto_April23__1___1[[#This Row],[Month]])</f>
        <v>2017-June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v>145.80000000000001</v>
      </c>
      <c r="S161">
        <v>143.1</v>
      </c>
      <c r="T161">
        <v>137.69999999999999</v>
      </c>
      <c r="U161">
        <v>142.30000000000001</v>
      </c>
      <c r="V161">
        <v>131.4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</row>
    <row r="162" spans="1:31" x14ac:dyDescent="0.3">
      <c r="A162" t="s">
        <v>48</v>
      </c>
      <c r="B162">
        <v>2017</v>
      </c>
      <c r="C162" t="s">
        <v>54</v>
      </c>
      <c r="D162" t="str">
        <f>_xlfn.CONCAT(All_India_Index_Upto_April23__1___1[[#This Row],[Year]],"-",All_India_Index_Upto_April23__1___1[[#This Row],[Month]])</f>
        <v>2017-June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v>148.6</v>
      </c>
      <c r="S162">
        <v>131.5</v>
      </c>
      <c r="T162">
        <v>123.2</v>
      </c>
      <c r="U162">
        <v>130.19999999999999</v>
      </c>
      <c r="V162"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</row>
    <row r="163" spans="1:31" x14ac:dyDescent="0.3">
      <c r="A163" t="s">
        <v>49</v>
      </c>
      <c r="B163">
        <v>2017</v>
      </c>
      <c r="C163" t="s">
        <v>54</v>
      </c>
      <c r="D163" t="str">
        <f>_xlfn.CONCAT(All_India_Index_Upto_April23__1___1[[#This Row],[Year]],"-",All_India_Index_Upto_April23__1___1[[#This Row],[Month]])</f>
        <v>2017-June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v>146.5</v>
      </c>
      <c r="S163">
        <v>138.5</v>
      </c>
      <c r="T163">
        <v>131.69999999999999</v>
      </c>
      <c r="U163">
        <v>137.5</v>
      </c>
      <c r="V163"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</row>
    <row r="164" spans="1:31" x14ac:dyDescent="0.3">
      <c r="A164" t="s">
        <v>46</v>
      </c>
      <c r="B164">
        <v>2017</v>
      </c>
      <c r="C164" t="s">
        <v>55</v>
      </c>
      <c r="D164" t="str">
        <f>_xlfn.CONCAT(All_India_Index_Upto_April23__1___1[[#This Row],[Year]],"-",All_India_Index_Upto_April23__1___1[[#This Row],[Month]])</f>
        <v>2017-July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v>147.4</v>
      </c>
      <c r="S164">
        <v>144.30000000000001</v>
      </c>
      <c r="T164">
        <v>138.1</v>
      </c>
      <c r="U164">
        <v>143.5</v>
      </c>
      <c r="V164">
        <v>132.6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</row>
    <row r="165" spans="1:31" x14ac:dyDescent="0.3">
      <c r="A165" t="s">
        <v>48</v>
      </c>
      <c r="B165">
        <v>2017</v>
      </c>
      <c r="C165" t="s">
        <v>55</v>
      </c>
      <c r="D165" t="str">
        <f>_xlfn.CONCAT(All_India_Index_Upto_April23__1___1[[#This Row],[Year]],"-",All_India_Index_Upto_April23__1___1[[#This Row],[Month]])</f>
        <v>2017-July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v>150.5</v>
      </c>
      <c r="S165">
        <v>131.6</v>
      </c>
      <c r="T165">
        <v>123.7</v>
      </c>
      <c r="U165">
        <v>130.4</v>
      </c>
      <c r="V165"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</row>
    <row r="166" spans="1:31" x14ac:dyDescent="0.3">
      <c r="A166" t="s">
        <v>49</v>
      </c>
      <c r="B166">
        <v>2017</v>
      </c>
      <c r="C166" t="s">
        <v>55</v>
      </c>
      <c r="D166" t="str">
        <f>_xlfn.CONCAT(All_India_Index_Upto_April23__1___1[[#This Row],[Year]],"-",All_India_Index_Upto_April23__1___1[[#This Row],[Month]])</f>
        <v>2017-July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v>148.19999999999999</v>
      </c>
      <c r="S166">
        <v>139.30000000000001</v>
      </c>
      <c r="T166">
        <v>132.1</v>
      </c>
      <c r="U166">
        <v>138.30000000000001</v>
      </c>
      <c r="V166"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</row>
    <row r="167" spans="1:31" x14ac:dyDescent="0.3">
      <c r="A167" t="s">
        <v>46</v>
      </c>
      <c r="B167">
        <v>2017</v>
      </c>
      <c r="C167" t="s">
        <v>56</v>
      </c>
      <c r="D167" t="str">
        <f>_xlfn.CONCAT(All_India_Index_Upto_April23__1___1[[#This Row],[Year]],"-",All_India_Index_Upto_April23__1___1[[#This Row],[Month]])</f>
        <v>2017-August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v>149</v>
      </c>
      <c r="S167">
        <v>145.30000000000001</v>
      </c>
      <c r="T167">
        <v>139.19999999999999</v>
      </c>
      <c r="U167">
        <v>144.5</v>
      </c>
      <c r="V167">
        <v>134.4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</row>
    <row r="168" spans="1:31" x14ac:dyDescent="0.3">
      <c r="A168" t="s">
        <v>48</v>
      </c>
      <c r="B168">
        <v>2017</v>
      </c>
      <c r="C168" t="s">
        <v>56</v>
      </c>
      <c r="D168" t="str">
        <f>_xlfn.CONCAT(All_India_Index_Upto_April23__1___1[[#This Row],[Year]],"-",All_India_Index_Upto_April23__1___1[[#This Row],[Month]])</f>
        <v>2017-August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v>152.1</v>
      </c>
      <c r="S168">
        <v>132.69999999999999</v>
      </c>
      <c r="T168">
        <v>124.3</v>
      </c>
      <c r="U168">
        <v>131.4</v>
      </c>
      <c r="V168"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</row>
    <row r="169" spans="1:31" x14ac:dyDescent="0.3">
      <c r="A169" t="s">
        <v>49</v>
      </c>
      <c r="B169">
        <v>2017</v>
      </c>
      <c r="C169" t="s">
        <v>56</v>
      </c>
      <c r="D169" t="str">
        <f>_xlfn.CONCAT(All_India_Index_Upto_April23__1___1[[#This Row],[Year]],"-",All_India_Index_Upto_April23__1___1[[#This Row],[Month]])</f>
        <v>2017-August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v>149.80000000000001</v>
      </c>
      <c r="S169">
        <v>140.30000000000001</v>
      </c>
      <c r="T169">
        <v>133</v>
      </c>
      <c r="U169">
        <v>139.30000000000001</v>
      </c>
      <c r="V169"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</row>
    <row r="170" spans="1:31" x14ac:dyDescent="0.3">
      <c r="A170" t="s">
        <v>46</v>
      </c>
      <c r="B170">
        <v>2017</v>
      </c>
      <c r="C170" t="s">
        <v>57</v>
      </c>
      <c r="D170" t="str">
        <f>_xlfn.CONCAT(All_India_Index_Upto_April23__1___1[[#This Row],[Year]],"-",All_India_Index_Upto_April23__1___1[[#This Row],[Month]])</f>
        <v>2017-September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v>149.80000000000001</v>
      </c>
      <c r="S170">
        <v>146.1</v>
      </c>
      <c r="T170">
        <v>139.69999999999999</v>
      </c>
      <c r="U170">
        <v>145.19999999999999</v>
      </c>
      <c r="V170">
        <v>135.69999999999999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</row>
    <row r="171" spans="1:31" x14ac:dyDescent="0.3">
      <c r="A171" t="s">
        <v>48</v>
      </c>
      <c r="B171">
        <v>2017</v>
      </c>
      <c r="C171" t="s">
        <v>57</v>
      </c>
      <c r="D171" t="str">
        <f>_xlfn.CONCAT(All_India_Index_Upto_April23__1___1[[#This Row],[Year]],"-",All_India_Index_Upto_April23__1___1[[#This Row],[Month]])</f>
        <v>2017-September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v>153.6</v>
      </c>
      <c r="S171">
        <v>133.30000000000001</v>
      </c>
      <c r="T171">
        <v>124.6</v>
      </c>
      <c r="U171">
        <v>132</v>
      </c>
      <c r="V171"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</row>
    <row r="172" spans="1:31" x14ac:dyDescent="0.3">
      <c r="A172" t="s">
        <v>49</v>
      </c>
      <c r="B172">
        <v>2017</v>
      </c>
      <c r="C172" t="s">
        <v>57</v>
      </c>
      <c r="D172" t="str">
        <f>_xlfn.CONCAT(All_India_Index_Upto_April23__1___1[[#This Row],[Year]],"-",All_India_Index_Upto_April23__1___1[[#This Row],[Month]])</f>
        <v>2017-September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v>150.80000000000001</v>
      </c>
      <c r="S172">
        <v>141.1</v>
      </c>
      <c r="T172">
        <v>133.4</v>
      </c>
      <c r="U172">
        <v>140</v>
      </c>
      <c r="V172"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</row>
    <row r="173" spans="1:31" x14ac:dyDescent="0.3">
      <c r="A173" t="s">
        <v>46</v>
      </c>
      <c r="B173">
        <v>2017</v>
      </c>
      <c r="C173" t="s">
        <v>58</v>
      </c>
      <c r="D173" t="str">
        <f>_xlfn.CONCAT(All_India_Index_Upto_April23__1___1[[#This Row],[Year]],"-",All_India_Index_Upto_April23__1___1[[#This Row],[Month]])</f>
        <v>2017-October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v>150.5</v>
      </c>
      <c r="S173">
        <v>147.19999999999999</v>
      </c>
      <c r="T173">
        <v>140.6</v>
      </c>
      <c r="U173">
        <v>146.19999999999999</v>
      </c>
      <c r="V173">
        <v>137.30000000000001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</row>
    <row r="174" spans="1:31" x14ac:dyDescent="0.3">
      <c r="A174" t="s">
        <v>48</v>
      </c>
      <c r="B174">
        <v>2017</v>
      </c>
      <c r="C174" t="s">
        <v>58</v>
      </c>
      <c r="D174" t="str">
        <f>_xlfn.CONCAT(All_India_Index_Upto_April23__1___1[[#This Row],[Year]],"-",All_India_Index_Upto_April23__1___1[[#This Row],[Month]])</f>
        <v>2017-October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v>154.6</v>
      </c>
      <c r="S174">
        <v>134</v>
      </c>
      <c r="T174">
        <v>124.9</v>
      </c>
      <c r="U174">
        <v>132.6</v>
      </c>
      <c r="V174"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</row>
    <row r="175" spans="1:31" x14ac:dyDescent="0.3">
      <c r="A175" t="s">
        <v>49</v>
      </c>
      <c r="B175">
        <v>2017</v>
      </c>
      <c r="C175" t="s">
        <v>58</v>
      </c>
      <c r="D175" t="str">
        <f>_xlfn.CONCAT(All_India_Index_Upto_April23__1___1[[#This Row],[Year]],"-",All_India_Index_Upto_April23__1___1[[#This Row],[Month]])</f>
        <v>2017-October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v>151.6</v>
      </c>
      <c r="S175">
        <v>142</v>
      </c>
      <c r="T175">
        <v>134.1</v>
      </c>
      <c r="U175">
        <v>140.80000000000001</v>
      </c>
      <c r="V175"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</row>
    <row r="176" spans="1:31" x14ac:dyDescent="0.3">
      <c r="A176" t="s">
        <v>46</v>
      </c>
      <c r="B176">
        <v>2017</v>
      </c>
      <c r="C176" t="s">
        <v>60</v>
      </c>
      <c r="D176" t="str">
        <f>_xlfn.CONCAT(All_India_Index_Upto_April23__1___1[[#This Row],[Year]],"-",All_India_Index_Upto_April23__1___1[[#This Row],[Month]])</f>
        <v>2017-November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v>152.1</v>
      </c>
      <c r="S176">
        <v>148.19999999999999</v>
      </c>
      <c r="T176">
        <v>141.5</v>
      </c>
      <c r="U176">
        <v>147.30000000000001</v>
      </c>
      <c r="V176">
        <v>138.6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</row>
    <row r="177" spans="1:31" x14ac:dyDescent="0.3">
      <c r="A177" t="s">
        <v>48</v>
      </c>
      <c r="B177">
        <v>2017</v>
      </c>
      <c r="C177" t="s">
        <v>60</v>
      </c>
      <c r="D177" t="str">
        <f>_xlfn.CONCAT(All_India_Index_Upto_April23__1___1[[#This Row],[Year]],"-",All_India_Index_Upto_April23__1___1[[#This Row],[Month]])</f>
        <v>2017-November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v>156.19999999999999</v>
      </c>
      <c r="S177">
        <v>135</v>
      </c>
      <c r="T177">
        <v>125.4</v>
      </c>
      <c r="U177">
        <v>133.5</v>
      </c>
      <c r="V177"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</row>
    <row r="178" spans="1:31" x14ac:dyDescent="0.3">
      <c r="A178" t="s">
        <v>49</v>
      </c>
      <c r="B178">
        <v>2017</v>
      </c>
      <c r="C178" t="s">
        <v>60</v>
      </c>
      <c r="D178" t="str">
        <f>_xlfn.CONCAT(All_India_Index_Upto_April23__1___1[[#This Row],[Year]],"-",All_India_Index_Upto_April23__1___1[[#This Row],[Month]])</f>
        <v>2017-November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v>153.19999999999999</v>
      </c>
      <c r="S178">
        <v>143</v>
      </c>
      <c r="T178">
        <v>134.80000000000001</v>
      </c>
      <c r="U178">
        <v>141.80000000000001</v>
      </c>
      <c r="V178"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</row>
    <row r="179" spans="1:31" x14ac:dyDescent="0.3">
      <c r="A179" t="s">
        <v>46</v>
      </c>
      <c r="B179">
        <v>2017</v>
      </c>
      <c r="C179" t="s">
        <v>61</v>
      </c>
      <c r="D179" t="str">
        <f>_xlfn.CONCAT(All_India_Index_Upto_April23__1___1[[#This Row],[Year]],"-",All_India_Index_Upto_April23__1___1[[#This Row],[Month]])</f>
        <v>2017-December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v>153.19999999999999</v>
      </c>
      <c r="S179">
        <v>148</v>
      </c>
      <c r="T179">
        <v>141.9</v>
      </c>
      <c r="U179">
        <v>147.19999999999999</v>
      </c>
      <c r="V179">
        <v>139.1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</row>
    <row r="180" spans="1:31" x14ac:dyDescent="0.3">
      <c r="A180" t="s">
        <v>48</v>
      </c>
      <c r="B180">
        <v>2017</v>
      </c>
      <c r="C180" t="s">
        <v>61</v>
      </c>
      <c r="D180" t="str">
        <f>_xlfn.CONCAT(All_India_Index_Upto_April23__1___1[[#This Row],[Year]],"-",All_India_Index_Upto_April23__1___1[[#This Row],[Month]])</f>
        <v>2017-December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v>157</v>
      </c>
      <c r="S180">
        <v>135.6</v>
      </c>
      <c r="T180">
        <v>125.6</v>
      </c>
      <c r="U180">
        <v>134</v>
      </c>
      <c r="V180"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</row>
    <row r="181" spans="1:31" x14ac:dyDescent="0.3">
      <c r="A181" t="s">
        <v>49</v>
      </c>
      <c r="B181">
        <v>2017</v>
      </c>
      <c r="C181" t="s">
        <v>61</v>
      </c>
      <c r="D181" t="str">
        <f>_xlfn.CONCAT(All_India_Index_Upto_April23__1___1[[#This Row],[Year]],"-",All_India_Index_Upto_April23__1___1[[#This Row],[Month]])</f>
        <v>2017-December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v>154.19999999999999</v>
      </c>
      <c r="S181">
        <v>143.1</v>
      </c>
      <c r="T181">
        <v>135.1</v>
      </c>
      <c r="U181">
        <v>142</v>
      </c>
      <c r="V181"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</row>
    <row r="182" spans="1:31" x14ac:dyDescent="0.3">
      <c r="A182" t="s">
        <v>46</v>
      </c>
      <c r="B182">
        <v>2018</v>
      </c>
      <c r="C182" t="s">
        <v>47</v>
      </c>
      <c r="D182" t="str">
        <f>_xlfn.CONCAT(All_India_Index_Upto_April23__1___1[[#This Row],[Year]],"-",All_India_Index_Upto_April23__1___1[[#This Row],[Month]])</f>
        <v>2018-January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v>153.6</v>
      </c>
      <c r="S182">
        <v>148.30000000000001</v>
      </c>
      <c r="T182">
        <v>142.30000000000001</v>
      </c>
      <c r="U182">
        <v>147.5</v>
      </c>
      <c r="V182">
        <v>140.4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</row>
    <row r="183" spans="1:31" x14ac:dyDescent="0.3">
      <c r="A183" t="s">
        <v>48</v>
      </c>
      <c r="B183">
        <v>2018</v>
      </c>
      <c r="C183" t="s">
        <v>47</v>
      </c>
      <c r="D183" t="str">
        <f>_xlfn.CONCAT(All_India_Index_Upto_April23__1___1[[#This Row],[Year]],"-",All_India_Index_Upto_April23__1___1[[#This Row],[Month]])</f>
        <v>2018-January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v>157.69999999999999</v>
      </c>
      <c r="S183">
        <v>136</v>
      </c>
      <c r="T183">
        <v>125.9</v>
      </c>
      <c r="U183">
        <v>134.4</v>
      </c>
      <c r="V183"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</row>
    <row r="184" spans="1:31" x14ac:dyDescent="0.3">
      <c r="A184" t="s">
        <v>49</v>
      </c>
      <c r="B184">
        <v>2018</v>
      </c>
      <c r="C184" t="s">
        <v>47</v>
      </c>
      <c r="D184" t="str">
        <f>_xlfn.CONCAT(All_India_Index_Upto_April23__1___1[[#This Row],[Year]],"-",All_India_Index_Upto_April23__1___1[[#This Row],[Month]])</f>
        <v>2018-January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v>154.69999999999999</v>
      </c>
      <c r="S184">
        <v>143.5</v>
      </c>
      <c r="T184">
        <v>135.5</v>
      </c>
      <c r="U184">
        <v>142.30000000000001</v>
      </c>
      <c r="V184"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</row>
    <row r="185" spans="1:31" x14ac:dyDescent="0.3">
      <c r="A185" t="s">
        <v>46</v>
      </c>
      <c r="B185">
        <v>2018</v>
      </c>
      <c r="C185" t="s">
        <v>50</v>
      </c>
      <c r="D185" t="str">
        <f>_xlfn.CONCAT(All_India_Index_Upto_April23__1___1[[#This Row],[Year]],"-",All_India_Index_Upto_April23__1___1[[#This Row],[Month]])</f>
        <v>2018-February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v>153.30000000000001</v>
      </c>
      <c r="S185">
        <v>148.69999999999999</v>
      </c>
      <c r="T185">
        <v>142.4</v>
      </c>
      <c r="U185">
        <v>147.80000000000001</v>
      </c>
      <c r="V185">
        <v>141.30000000000001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</row>
    <row r="186" spans="1:31" x14ac:dyDescent="0.3">
      <c r="A186" t="s">
        <v>48</v>
      </c>
      <c r="B186">
        <v>2018</v>
      </c>
      <c r="C186" t="s">
        <v>50</v>
      </c>
      <c r="D186" t="str">
        <f>_xlfn.CONCAT(All_India_Index_Upto_April23__1___1[[#This Row],[Year]],"-",All_India_Index_Upto_April23__1___1[[#This Row],[Month]])</f>
        <v>2018-February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v>159.30000000000001</v>
      </c>
      <c r="S186">
        <v>136.30000000000001</v>
      </c>
      <c r="T186">
        <v>126.1</v>
      </c>
      <c r="U186">
        <v>134.69999999999999</v>
      </c>
      <c r="V186"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</row>
    <row r="187" spans="1:31" x14ac:dyDescent="0.3">
      <c r="A187" t="s">
        <v>49</v>
      </c>
      <c r="B187">
        <v>2018</v>
      </c>
      <c r="C187" t="s">
        <v>50</v>
      </c>
      <c r="D187" t="str">
        <f>_xlfn.CONCAT(All_India_Index_Upto_April23__1___1[[#This Row],[Year]],"-",All_India_Index_Upto_April23__1___1[[#This Row],[Month]])</f>
        <v>2018-February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v>154.9</v>
      </c>
      <c r="S187">
        <v>143.80000000000001</v>
      </c>
      <c r="T187">
        <v>135.6</v>
      </c>
      <c r="U187">
        <v>142.6</v>
      </c>
      <c r="V187"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</row>
    <row r="188" spans="1:31" x14ac:dyDescent="0.3">
      <c r="A188" t="s">
        <v>46</v>
      </c>
      <c r="B188">
        <v>2018</v>
      </c>
      <c r="C188" t="s">
        <v>51</v>
      </c>
      <c r="D188" t="str">
        <f>_xlfn.CONCAT(All_India_Index_Upto_April23__1___1[[#This Row],[Year]],"-",All_India_Index_Upto_April23__1___1[[#This Row],[Month]])</f>
        <v>2018-March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v>155.1</v>
      </c>
      <c r="S188">
        <v>149.19999999999999</v>
      </c>
      <c r="T188">
        <v>143</v>
      </c>
      <c r="U188">
        <v>148.30000000000001</v>
      </c>
      <c r="V188">
        <v>142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</row>
    <row r="189" spans="1:31" x14ac:dyDescent="0.3">
      <c r="A189" t="s">
        <v>48</v>
      </c>
      <c r="B189">
        <v>2018</v>
      </c>
      <c r="C189" t="s">
        <v>51</v>
      </c>
      <c r="D189" t="str">
        <f>_xlfn.CONCAT(All_India_Index_Upto_April23__1___1[[#This Row],[Year]],"-",All_India_Index_Upto_April23__1___1[[#This Row],[Month]])</f>
        <v>2018-March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v>159.69999999999999</v>
      </c>
      <c r="S189">
        <v>136.69999999999999</v>
      </c>
      <c r="T189">
        <v>126.7</v>
      </c>
      <c r="U189">
        <v>135.19999999999999</v>
      </c>
      <c r="V189"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</row>
    <row r="190" spans="1:31" x14ac:dyDescent="0.3">
      <c r="A190" t="s">
        <v>49</v>
      </c>
      <c r="B190">
        <v>2018</v>
      </c>
      <c r="C190" t="s">
        <v>51</v>
      </c>
      <c r="D190" t="str">
        <f>_xlfn.CONCAT(All_India_Index_Upto_April23__1___1[[#This Row],[Year]],"-",All_India_Index_Upto_April23__1___1[[#This Row],[Month]])</f>
        <v>2018-March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v>156.30000000000001</v>
      </c>
      <c r="S190">
        <v>144.30000000000001</v>
      </c>
      <c r="T190">
        <v>136.19999999999999</v>
      </c>
      <c r="U190">
        <v>143.1</v>
      </c>
      <c r="V190"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</row>
    <row r="191" spans="1:31" x14ac:dyDescent="0.3">
      <c r="A191" t="s">
        <v>46</v>
      </c>
      <c r="B191">
        <v>2018</v>
      </c>
      <c r="C191" t="s">
        <v>52</v>
      </c>
      <c r="D191" t="str">
        <f>_xlfn.CONCAT(All_India_Index_Upto_April23__1___1[[#This Row],[Year]],"-",All_India_Index_Upto_April23__1___1[[#This Row],[Month]])</f>
        <v>2018-April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v>156.1</v>
      </c>
      <c r="S191">
        <v>150.1</v>
      </c>
      <c r="T191">
        <v>143.30000000000001</v>
      </c>
      <c r="U191">
        <v>149.1</v>
      </c>
      <c r="V191">
        <v>142.9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</row>
    <row r="192" spans="1:31" x14ac:dyDescent="0.3">
      <c r="A192" t="s">
        <v>48</v>
      </c>
      <c r="B192">
        <v>2018</v>
      </c>
      <c r="C192" t="s">
        <v>52</v>
      </c>
      <c r="D192" t="str">
        <f>_xlfn.CONCAT(All_India_Index_Upto_April23__1___1[[#This Row],[Year]],"-",All_India_Index_Upto_April23__1___1[[#This Row],[Month]])</f>
        <v>2018-April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v>159.19999999999999</v>
      </c>
      <c r="S192">
        <v>137.80000000000001</v>
      </c>
      <c r="T192">
        <v>127.4</v>
      </c>
      <c r="U192">
        <v>136.19999999999999</v>
      </c>
      <c r="V192"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</row>
    <row r="193" spans="1:31" x14ac:dyDescent="0.3">
      <c r="A193" t="s">
        <v>49</v>
      </c>
      <c r="B193">
        <v>2018</v>
      </c>
      <c r="C193" t="s">
        <v>52</v>
      </c>
      <c r="D193" t="str">
        <f>_xlfn.CONCAT(All_India_Index_Upto_April23__1___1[[#This Row],[Year]],"-",All_India_Index_Upto_April23__1___1[[#This Row],[Month]])</f>
        <v>2018-April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v>156.9</v>
      </c>
      <c r="S193">
        <v>145.30000000000001</v>
      </c>
      <c r="T193">
        <v>136.69999999999999</v>
      </c>
      <c r="U193">
        <v>144</v>
      </c>
      <c r="V193"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</row>
    <row r="194" spans="1:31" x14ac:dyDescent="0.3">
      <c r="A194" t="s">
        <v>46</v>
      </c>
      <c r="B194">
        <v>2018</v>
      </c>
      <c r="C194" t="s">
        <v>53</v>
      </c>
      <c r="D194" t="str">
        <f>_xlfn.CONCAT(All_India_Index_Upto_April23__1___1[[#This Row],[Year]],"-",All_India_Index_Upto_April23__1___1[[#This Row],[Month]])</f>
        <v>2018-May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v>157</v>
      </c>
      <c r="S194">
        <v>150.80000000000001</v>
      </c>
      <c r="T194">
        <v>144.1</v>
      </c>
      <c r="U194">
        <v>149.80000000000001</v>
      </c>
      <c r="V194">
        <v>143.19999999999999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</row>
    <row r="195" spans="1:31" x14ac:dyDescent="0.3">
      <c r="A195" t="s">
        <v>48</v>
      </c>
      <c r="B195">
        <v>2018</v>
      </c>
      <c r="C195" t="s">
        <v>53</v>
      </c>
      <c r="D195" t="str">
        <f>_xlfn.CONCAT(All_India_Index_Upto_April23__1___1[[#This Row],[Year]],"-",All_India_Index_Upto_April23__1___1[[#This Row],[Month]])</f>
        <v>2018-May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v>160.30000000000001</v>
      </c>
      <c r="S195">
        <v>138.6</v>
      </c>
      <c r="T195">
        <v>127.9</v>
      </c>
      <c r="U195">
        <v>137</v>
      </c>
      <c r="V195"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</row>
    <row r="196" spans="1:31" x14ac:dyDescent="0.3">
      <c r="A196" t="s">
        <v>49</v>
      </c>
      <c r="B196">
        <v>2018</v>
      </c>
      <c r="C196" t="s">
        <v>53</v>
      </c>
      <c r="D196" t="str">
        <f>_xlfn.CONCAT(All_India_Index_Upto_April23__1___1[[#This Row],[Year]],"-",All_India_Index_Upto_April23__1___1[[#This Row],[Month]])</f>
        <v>2018-May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v>157.9</v>
      </c>
      <c r="S196">
        <v>146</v>
      </c>
      <c r="T196">
        <v>137.4</v>
      </c>
      <c r="U196">
        <v>144.69999999999999</v>
      </c>
      <c r="V196"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</row>
    <row r="197" spans="1:31" x14ac:dyDescent="0.3">
      <c r="A197" t="s">
        <v>46</v>
      </c>
      <c r="B197">
        <v>2018</v>
      </c>
      <c r="C197" t="s">
        <v>54</v>
      </c>
      <c r="D197" t="str">
        <f>_xlfn.CONCAT(All_India_Index_Upto_April23__1___1[[#This Row],[Year]],"-",All_India_Index_Upto_April23__1___1[[#This Row],[Month]])</f>
        <v>2018-June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V197">
        <v>142.5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</row>
    <row r="198" spans="1:31" x14ac:dyDescent="0.3">
      <c r="A198" t="s">
        <v>48</v>
      </c>
      <c r="B198">
        <v>2018</v>
      </c>
      <c r="C198" t="s">
        <v>54</v>
      </c>
      <c r="D198" t="str">
        <f>_xlfn.CONCAT(All_India_Index_Upto_April23__1___1[[#This Row],[Year]],"-",All_India_Index_Upto_April23__1___1[[#This Row],[Month]])</f>
        <v>2018-June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v>161</v>
      </c>
      <c r="S198">
        <v>138.9</v>
      </c>
      <c r="T198">
        <v>128.69999999999999</v>
      </c>
      <c r="U198">
        <v>137.4</v>
      </c>
      <c r="V198"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</row>
    <row r="199" spans="1:31" x14ac:dyDescent="0.3">
      <c r="A199" t="s">
        <v>49</v>
      </c>
      <c r="B199">
        <v>2018</v>
      </c>
      <c r="C199" t="s">
        <v>54</v>
      </c>
      <c r="D199" t="str">
        <f>_xlfn.CONCAT(All_India_Index_Upto_April23__1___1[[#This Row],[Year]],"-",All_India_Index_Upto_April23__1___1[[#This Row],[Month]])</f>
        <v>2018-June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v>158.30000000000001</v>
      </c>
      <c r="S199">
        <v>146.4</v>
      </c>
      <c r="T199">
        <v>138.1</v>
      </c>
      <c r="U199">
        <v>145.19999999999999</v>
      </c>
      <c r="V199"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</row>
    <row r="200" spans="1:31" x14ac:dyDescent="0.3">
      <c r="A200" t="s">
        <v>46</v>
      </c>
      <c r="B200">
        <v>2018</v>
      </c>
      <c r="C200" t="s">
        <v>55</v>
      </c>
      <c r="D200" t="str">
        <f>_xlfn.CONCAT(All_India_Index_Upto_April23__1___1[[#This Row],[Year]],"-",All_India_Index_Upto_April23__1___1[[#This Row],[Month]])</f>
        <v>2018-July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v>156.1</v>
      </c>
      <c r="S200">
        <v>151.5</v>
      </c>
      <c r="T200">
        <v>145.1</v>
      </c>
      <c r="U200">
        <v>150.6</v>
      </c>
      <c r="V200">
        <v>143.6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</row>
    <row r="201" spans="1:31" x14ac:dyDescent="0.3">
      <c r="A201" t="s">
        <v>48</v>
      </c>
      <c r="B201">
        <v>2018</v>
      </c>
      <c r="C201" t="s">
        <v>55</v>
      </c>
      <c r="D201" t="str">
        <f>_xlfn.CONCAT(All_India_Index_Upto_April23__1___1[[#This Row],[Year]],"-",All_India_Index_Upto_April23__1___1[[#This Row],[Month]])</f>
        <v>2018-July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v>161.4</v>
      </c>
      <c r="S201">
        <v>139.6</v>
      </c>
      <c r="T201">
        <v>128.9</v>
      </c>
      <c r="U201">
        <v>137.9</v>
      </c>
      <c r="V201"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</row>
    <row r="202" spans="1:31" x14ac:dyDescent="0.3">
      <c r="A202" t="s">
        <v>49</v>
      </c>
      <c r="B202">
        <v>2018</v>
      </c>
      <c r="C202" t="s">
        <v>55</v>
      </c>
      <c r="D202" t="str">
        <f>_xlfn.CONCAT(All_India_Index_Upto_April23__1___1[[#This Row],[Year]],"-",All_India_Index_Upto_April23__1___1[[#This Row],[Month]])</f>
        <v>2018-July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v>157.5</v>
      </c>
      <c r="S202">
        <v>146.80000000000001</v>
      </c>
      <c r="T202">
        <v>138.4</v>
      </c>
      <c r="U202">
        <v>145.6</v>
      </c>
      <c r="V202"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</row>
    <row r="203" spans="1:31" x14ac:dyDescent="0.3">
      <c r="A203" t="s">
        <v>46</v>
      </c>
      <c r="B203">
        <v>2018</v>
      </c>
      <c r="C203" t="s">
        <v>56</v>
      </c>
      <c r="D203" t="str">
        <f>_xlfn.CONCAT(All_India_Index_Upto_April23__1___1[[#This Row],[Year]],"-",All_India_Index_Upto_April23__1___1[[#This Row],[Month]])</f>
        <v>2018-August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v>156.4</v>
      </c>
      <c r="S203">
        <v>152.1</v>
      </c>
      <c r="T203">
        <v>145.80000000000001</v>
      </c>
      <c r="U203">
        <v>151.30000000000001</v>
      </c>
      <c r="V203">
        <v>144.6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</row>
    <row r="204" spans="1:31" x14ac:dyDescent="0.3">
      <c r="A204" t="s">
        <v>48</v>
      </c>
      <c r="B204">
        <v>2018</v>
      </c>
      <c r="C204" t="s">
        <v>56</v>
      </c>
      <c r="D204" t="str">
        <f>_xlfn.CONCAT(All_India_Index_Upto_April23__1___1[[#This Row],[Year]],"-",All_India_Index_Upto_April23__1___1[[#This Row],[Month]])</f>
        <v>2018-August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v>162.1</v>
      </c>
      <c r="S204">
        <v>140</v>
      </c>
      <c r="T204">
        <v>129</v>
      </c>
      <c r="U204">
        <v>138.30000000000001</v>
      </c>
      <c r="V204"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</row>
    <row r="205" spans="1:31" x14ac:dyDescent="0.3">
      <c r="A205" t="s">
        <v>49</v>
      </c>
      <c r="B205">
        <v>2018</v>
      </c>
      <c r="C205" t="s">
        <v>56</v>
      </c>
      <c r="D205" t="str">
        <f>_xlfn.CONCAT(All_India_Index_Upto_April23__1___1[[#This Row],[Year]],"-",All_India_Index_Upto_April23__1___1[[#This Row],[Month]])</f>
        <v>2018-August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v>157.9</v>
      </c>
      <c r="S205">
        <v>147.30000000000001</v>
      </c>
      <c r="T205">
        <v>138.80000000000001</v>
      </c>
      <c r="U205">
        <v>146.1</v>
      </c>
      <c r="V205"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</row>
    <row r="206" spans="1:31" x14ac:dyDescent="0.3">
      <c r="A206" t="s">
        <v>46</v>
      </c>
      <c r="B206">
        <v>2018</v>
      </c>
      <c r="C206" t="s">
        <v>57</v>
      </c>
      <c r="D206" t="str">
        <f>_xlfn.CONCAT(All_India_Index_Upto_April23__1___1[[#This Row],[Year]],"-",All_India_Index_Upto_April23__1___1[[#This Row],[Month]])</f>
        <v>2018-September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v>157.69999999999999</v>
      </c>
      <c r="S206">
        <v>152.1</v>
      </c>
      <c r="T206">
        <v>146.1</v>
      </c>
      <c r="U206">
        <v>151.30000000000001</v>
      </c>
      <c r="V206">
        <v>145.30000000000001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</row>
    <row r="207" spans="1:31" x14ac:dyDescent="0.3">
      <c r="A207" t="s">
        <v>48</v>
      </c>
      <c r="B207">
        <v>2018</v>
      </c>
      <c r="C207" t="s">
        <v>57</v>
      </c>
      <c r="D207" t="str">
        <f>_xlfn.CONCAT(All_India_Index_Upto_April23__1___1[[#This Row],[Year]],"-",All_India_Index_Upto_April23__1___1[[#This Row],[Month]])</f>
        <v>2018-September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v>163.30000000000001</v>
      </c>
      <c r="S207">
        <v>140.80000000000001</v>
      </c>
      <c r="T207">
        <v>129.30000000000001</v>
      </c>
      <c r="U207">
        <v>139.1</v>
      </c>
      <c r="V207"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</row>
    <row r="208" spans="1:31" x14ac:dyDescent="0.3">
      <c r="A208" t="s">
        <v>49</v>
      </c>
      <c r="B208">
        <v>2018</v>
      </c>
      <c r="C208" t="s">
        <v>57</v>
      </c>
      <c r="D208" t="str">
        <f>_xlfn.CONCAT(All_India_Index_Upto_April23__1___1[[#This Row],[Year]],"-",All_India_Index_Upto_April23__1___1[[#This Row],[Month]])</f>
        <v>2018-September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v>159.19999999999999</v>
      </c>
      <c r="S208">
        <v>147.69999999999999</v>
      </c>
      <c r="T208">
        <v>139.1</v>
      </c>
      <c r="U208">
        <v>146.5</v>
      </c>
      <c r="V208"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</row>
    <row r="209" spans="1:31" x14ac:dyDescent="0.3">
      <c r="A209" t="s">
        <v>46</v>
      </c>
      <c r="B209">
        <v>2018</v>
      </c>
      <c r="C209" t="s">
        <v>58</v>
      </c>
      <c r="D209" t="str">
        <f>_xlfn.CONCAT(All_India_Index_Upto_April23__1___1[[#This Row],[Year]],"-",All_India_Index_Upto_April23__1___1[[#This Row],[Month]])</f>
        <v>2018-October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v>159.6</v>
      </c>
      <c r="S209">
        <v>150.69999999999999</v>
      </c>
      <c r="T209">
        <v>144.5</v>
      </c>
      <c r="U209">
        <v>149.80000000000001</v>
      </c>
      <c r="V209">
        <v>146.30000000000001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</row>
    <row r="210" spans="1:31" x14ac:dyDescent="0.3">
      <c r="A210" t="s">
        <v>48</v>
      </c>
      <c r="B210">
        <v>2018</v>
      </c>
      <c r="C210" t="s">
        <v>58</v>
      </c>
      <c r="D210" t="str">
        <f>_xlfn.CONCAT(All_India_Index_Upto_April23__1___1[[#This Row],[Year]],"-",All_India_Index_Upto_April23__1___1[[#This Row],[Month]])</f>
        <v>2018-October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v>164</v>
      </c>
      <c r="S210">
        <v>141.5</v>
      </c>
      <c r="T210">
        <v>129.80000000000001</v>
      </c>
      <c r="U210">
        <v>139.69999999999999</v>
      </c>
      <c r="V210">
        <v>146.30000000000001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</row>
    <row r="211" spans="1:31" x14ac:dyDescent="0.3">
      <c r="A211" t="s">
        <v>49</v>
      </c>
      <c r="B211">
        <v>2018</v>
      </c>
      <c r="C211" t="s">
        <v>58</v>
      </c>
      <c r="D211" t="str">
        <f>_xlfn.CONCAT(All_India_Index_Upto_April23__1___1[[#This Row],[Year]],"-",All_India_Index_Upto_April23__1___1[[#This Row],[Month]])</f>
        <v>2018-October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v>162.6</v>
      </c>
      <c r="S211">
        <v>148</v>
      </c>
      <c r="T211">
        <v>139.19999999999999</v>
      </c>
      <c r="U211">
        <v>146.80000000000001</v>
      </c>
      <c r="V211"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</row>
    <row r="212" spans="1:31" x14ac:dyDescent="0.3">
      <c r="A212" t="s">
        <v>46</v>
      </c>
      <c r="B212">
        <v>2018</v>
      </c>
      <c r="C212" t="s">
        <v>60</v>
      </c>
      <c r="D212" t="str">
        <f>_xlfn.CONCAT(All_India_Index_Upto_April23__1___1[[#This Row],[Year]],"-",All_India_Index_Upto_April23__1___1[[#This Row],[Month]])</f>
        <v>2018-November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v>161.9</v>
      </c>
      <c r="S212">
        <v>151.69999999999999</v>
      </c>
      <c r="T212">
        <v>145.5</v>
      </c>
      <c r="U212">
        <v>150.80000000000001</v>
      </c>
      <c r="V212">
        <v>146.9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</row>
    <row r="213" spans="1:31" x14ac:dyDescent="0.3">
      <c r="A213" t="s">
        <v>48</v>
      </c>
      <c r="B213">
        <v>2018</v>
      </c>
      <c r="C213" t="s">
        <v>60</v>
      </c>
      <c r="D213" t="str">
        <f>_xlfn.CONCAT(All_India_Index_Upto_April23__1___1[[#This Row],[Year]],"-",All_India_Index_Upto_April23__1___1[[#This Row],[Month]])</f>
        <v>2018-November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v>164.4</v>
      </c>
      <c r="S213">
        <v>142.4</v>
      </c>
      <c r="T213">
        <v>130.19999999999999</v>
      </c>
      <c r="U213">
        <v>140.5</v>
      </c>
      <c r="V213"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</row>
    <row r="214" spans="1:31" x14ac:dyDescent="0.3">
      <c r="A214" t="s">
        <v>49</v>
      </c>
      <c r="B214">
        <v>2018</v>
      </c>
      <c r="C214" t="s">
        <v>60</v>
      </c>
      <c r="D214" t="str">
        <f>_xlfn.CONCAT(All_India_Index_Upto_April23__1___1[[#This Row],[Year]],"-",All_India_Index_Upto_April23__1___1[[#This Row],[Month]])</f>
        <v>2018-November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v>162.6</v>
      </c>
      <c r="S214">
        <v>148</v>
      </c>
      <c r="T214">
        <v>139.1</v>
      </c>
      <c r="U214">
        <v>146.69999999999999</v>
      </c>
      <c r="V214"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</row>
    <row r="215" spans="1:31" x14ac:dyDescent="0.3">
      <c r="A215" t="s">
        <v>46</v>
      </c>
      <c r="B215">
        <v>2018</v>
      </c>
      <c r="C215" t="s">
        <v>61</v>
      </c>
      <c r="D215" t="str">
        <f>_xlfn.CONCAT(All_India_Index_Upto_April23__1___1[[#This Row],[Year]],"-",All_India_Index_Upto_April23__1___1[[#This Row],[Month]])</f>
        <v>2018-December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v>162.4</v>
      </c>
      <c r="S215">
        <v>151.6</v>
      </c>
      <c r="T215">
        <v>145.9</v>
      </c>
      <c r="U215">
        <v>150.80000000000001</v>
      </c>
      <c r="V215">
        <v>146.5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</row>
    <row r="216" spans="1:31" x14ac:dyDescent="0.3">
      <c r="A216" t="s">
        <v>48</v>
      </c>
      <c r="B216">
        <v>2018</v>
      </c>
      <c r="C216" t="s">
        <v>61</v>
      </c>
      <c r="D216" t="str">
        <f>_xlfn.CONCAT(All_India_Index_Upto_April23__1___1[[#This Row],[Year]],"-",All_India_Index_Upto_April23__1___1[[#This Row],[Month]])</f>
        <v>2018-December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v>164.6</v>
      </c>
      <c r="S216">
        <v>142.69999999999999</v>
      </c>
      <c r="T216">
        <v>130.30000000000001</v>
      </c>
      <c r="U216">
        <v>140.80000000000001</v>
      </c>
      <c r="V216"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</row>
    <row r="217" spans="1:31" x14ac:dyDescent="0.3">
      <c r="A217" t="s">
        <v>49</v>
      </c>
      <c r="B217">
        <v>2018</v>
      </c>
      <c r="C217" t="s">
        <v>61</v>
      </c>
      <c r="D217" t="str">
        <f>_xlfn.CONCAT(All_India_Index_Upto_April23__1___1[[#This Row],[Year]],"-",All_India_Index_Upto_April23__1___1[[#This Row],[Month]])</f>
        <v>2018-December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v>163</v>
      </c>
      <c r="S217">
        <v>148.1</v>
      </c>
      <c r="T217">
        <v>139.4</v>
      </c>
      <c r="U217">
        <v>146.80000000000001</v>
      </c>
      <c r="V217"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</row>
    <row r="218" spans="1:31" x14ac:dyDescent="0.3">
      <c r="A218" t="s">
        <v>46</v>
      </c>
      <c r="B218">
        <v>2019</v>
      </c>
      <c r="C218" t="s">
        <v>47</v>
      </c>
      <c r="D218" t="str">
        <f>_xlfn.CONCAT(All_India_Index_Upto_April23__1___1[[#This Row],[Year]],"-",All_India_Index_Upto_April23__1___1[[#This Row],[Month]])</f>
        <v>2019-January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v>162.69999999999999</v>
      </c>
      <c r="S218">
        <v>150.6</v>
      </c>
      <c r="T218">
        <v>145.1</v>
      </c>
      <c r="U218">
        <v>149.9</v>
      </c>
      <c r="V218">
        <v>147.69999999999999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</row>
    <row r="219" spans="1:31" x14ac:dyDescent="0.3">
      <c r="A219" t="s">
        <v>48</v>
      </c>
      <c r="B219">
        <v>2019</v>
      </c>
      <c r="C219" t="s">
        <v>47</v>
      </c>
      <c r="D219" t="str">
        <f>_xlfn.CONCAT(All_India_Index_Upto_April23__1___1[[#This Row],[Year]],"-",All_India_Index_Upto_April23__1___1[[#This Row],[Month]])</f>
        <v>2019-January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v>164.7</v>
      </c>
      <c r="S219">
        <v>143</v>
      </c>
      <c r="T219">
        <v>130.4</v>
      </c>
      <c r="U219">
        <v>141.1</v>
      </c>
      <c r="V219"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</row>
    <row r="220" spans="1:31" x14ac:dyDescent="0.3">
      <c r="A220" t="s">
        <v>49</v>
      </c>
      <c r="B220">
        <v>2019</v>
      </c>
      <c r="C220" t="s">
        <v>47</v>
      </c>
      <c r="D220" t="str">
        <f>_xlfn.CONCAT(All_India_Index_Upto_April23__1___1[[#This Row],[Year]],"-",All_India_Index_Upto_April23__1___1[[#This Row],[Month]])</f>
        <v>2019-January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v>163.19999999999999</v>
      </c>
      <c r="S220">
        <v>147.6</v>
      </c>
      <c r="T220">
        <v>139</v>
      </c>
      <c r="U220">
        <v>146.4</v>
      </c>
      <c r="V220"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</row>
    <row r="221" spans="1:31" x14ac:dyDescent="0.3">
      <c r="A221" t="s">
        <v>46</v>
      </c>
      <c r="B221">
        <v>2019</v>
      </c>
      <c r="C221" t="s">
        <v>50</v>
      </c>
      <c r="D221" t="str">
        <f>_xlfn.CONCAT(All_India_Index_Upto_April23__1___1[[#This Row],[Year]],"-",All_India_Index_Upto_April23__1___1[[#This Row],[Month]])</f>
        <v>2019-February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v>162.80000000000001</v>
      </c>
      <c r="S221">
        <v>150.5</v>
      </c>
      <c r="T221">
        <v>146.1</v>
      </c>
      <c r="U221">
        <v>149.9</v>
      </c>
      <c r="V221">
        <v>148.5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</row>
    <row r="222" spans="1:31" x14ac:dyDescent="0.3">
      <c r="A222" t="s">
        <v>48</v>
      </c>
      <c r="B222">
        <v>2019</v>
      </c>
      <c r="C222" t="s">
        <v>50</v>
      </c>
      <c r="D222" t="str">
        <f>_xlfn.CONCAT(All_India_Index_Upto_April23__1___1[[#This Row],[Year]],"-",All_India_Index_Upto_April23__1___1[[#This Row],[Month]])</f>
        <v>2019-February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v>164.9</v>
      </c>
      <c r="S222">
        <v>143.30000000000001</v>
      </c>
      <c r="T222">
        <v>130.80000000000001</v>
      </c>
      <c r="U222">
        <v>141.4</v>
      </c>
      <c r="V222"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</row>
    <row r="223" spans="1:31" x14ac:dyDescent="0.3">
      <c r="A223" t="s">
        <v>49</v>
      </c>
      <c r="B223">
        <v>2019</v>
      </c>
      <c r="C223" t="s">
        <v>50</v>
      </c>
      <c r="D223" t="str">
        <f>_xlfn.CONCAT(All_India_Index_Upto_April23__1___1[[#This Row],[Year]],"-",All_India_Index_Upto_April23__1___1[[#This Row],[Month]])</f>
        <v>2019-February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v>163.4</v>
      </c>
      <c r="S223">
        <v>147.69999999999999</v>
      </c>
      <c r="T223">
        <v>139.69999999999999</v>
      </c>
      <c r="U223">
        <v>146.5</v>
      </c>
      <c r="V223"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</row>
    <row r="224" spans="1:31" x14ac:dyDescent="0.3">
      <c r="A224" t="s">
        <v>46</v>
      </c>
      <c r="B224">
        <v>2019</v>
      </c>
      <c r="C224" t="s">
        <v>51</v>
      </c>
      <c r="D224" t="str">
        <f>_xlfn.CONCAT(All_India_Index_Upto_April23__1___1[[#This Row],[Year]],"-",All_India_Index_Upto_April23__1___1[[#This Row],[Month]])</f>
        <v>2019-March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v>162.9</v>
      </c>
      <c r="S224">
        <v>150.80000000000001</v>
      </c>
      <c r="T224">
        <v>146.1</v>
      </c>
      <c r="U224">
        <v>150.1</v>
      </c>
      <c r="V224">
        <v>149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</row>
    <row r="225" spans="1:31" x14ac:dyDescent="0.3">
      <c r="A225" t="s">
        <v>48</v>
      </c>
      <c r="B225">
        <v>2019</v>
      </c>
      <c r="C225" t="s">
        <v>51</v>
      </c>
      <c r="D225" t="str">
        <f>_xlfn.CONCAT(All_India_Index_Upto_April23__1___1[[#This Row],[Year]],"-",All_India_Index_Upto_April23__1___1[[#This Row],[Month]])</f>
        <v>2019-March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v>165.3</v>
      </c>
      <c r="S225">
        <v>143.5</v>
      </c>
      <c r="T225">
        <v>131.19999999999999</v>
      </c>
      <c r="U225">
        <v>141.6</v>
      </c>
      <c r="V225"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</row>
    <row r="226" spans="1:31" x14ac:dyDescent="0.3">
      <c r="A226" t="s">
        <v>49</v>
      </c>
      <c r="B226">
        <v>2019</v>
      </c>
      <c r="C226" t="s">
        <v>51</v>
      </c>
      <c r="D226" t="str">
        <f>_xlfn.CONCAT(All_India_Index_Upto_April23__1___1[[#This Row],[Year]],"-",All_India_Index_Upto_April23__1___1[[#This Row],[Month]])</f>
        <v>2019-March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v>163.5</v>
      </c>
      <c r="S226">
        <v>147.9</v>
      </c>
      <c r="T226">
        <v>139.9</v>
      </c>
      <c r="U226">
        <v>146.69999999999999</v>
      </c>
      <c r="V226"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</row>
    <row r="227" spans="1:31" x14ac:dyDescent="0.3">
      <c r="A227" t="s">
        <v>46</v>
      </c>
      <c r="B227">
        <v>2019</v>
      </c>
      <c r="C227" t="s">
        <v>53</v>
      </c>
      <c r="D227" t="str">
        <f>_xlfn.CONCAT(All_India_Index_Upto_April23__1___1[[#This Row],[Year]],"-",All_India_Index_Upto_April23__1___1[[#This Row],[Month]])</f>
        <v>2019-May</v>
      </c>
      <c r="E227">
        <v>137.4</v>
      </c>
      <c r="F227">
        <v>159.5</v>
      </c>
      <c r="G227">
        <v>134.5</v>
      </c>
      <c r="H227">
        <v>142.6</v>
      </c>
      <c r="I227">
        <v>124</v>
      </c>
      <c r="J227">
        <v>143.69999999999999</v>
      </c>
      <c r="K227">
        <v>133.4</v>
      </c>
      <c r="L227">
        <v>125.1</v>
      </c>
      <c r="M227">
        <v>109.3</v>
      </c>
      <c r="N227">
        <v>139.30000000000001</v>
      </c>
      <c r="O227">
        <v>137.69999999999999</v>
      </c>
      <c r="P227">
        <v>156.4</v>
      </c>
      <c r="Q227">
        <v>139.19999999999999</v>
      </c>
      <c r="R227">
        <v>163.30000000000001</v>
      </c>
      <c r="S227">
        <v>151.30000000000001</v>
      </c>
      <c r="T227">
        <v>146.6</v>
      </c>
      <c r="U227">
        <v>150.69999999999999</v>
      </c>
      <c r="V227">
        <v>150.1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</row>
    <row r="228" spans="1:31" x14ac:dyDescent="0.3">
      <c r="A228" t="s">
        <v>48</v>
      </c>
      <c r="B228">
        <v>2019</v>
      </c>
      <c r="C228" t="s">
        <v>53</v>
      </c>
      <c r="D228" t="str">
        <f>_xlfn.CONCAT(All_India_Index_Upto_April23__1___1[[#This Row],[Year]],"-",All_India_Index_Upto_April23__1___1[[#This Row],[Month]])</f>
        <v>2019-May</v>
      </c>
      <c r="E228">
        <v>140.4</v>
      </c>
      <c r="F228">
        <v>156.69999999999999</v>
      </c>
      <c r="G228">
        <v>138.30000000000001</v>
      </c>
      <c r="H228">
        <v>142.4</v>
      </c>
      <c r="I228">
        <v>118.6</v>
      </c>
      <c r="J228">
        <v>149.69999999999999</v>
      </c>
      <c r="K228">
        <v>161.6</v>
      </c>
      <c r="L228">
        <v>124.4</v>
      </c>
      <c r="M228">
        <v>111.2</v>
      </c>
      <c r="N228">
        <v>141</v>
      </c>
      <c r="O228">
        <v>128.9</v>
      </c>
      <c r="P228">
        <v>154.5</v>
      </c>
      <c r="Q228">
        <v>143.80000000000001</v>
      </c>
      <c r="R228">
        <v>166.2</v>
      </c>
      <c r="S228">
        <v>144</v>
      </c>
      <c r="T228">
        <v>131.69999999999999</v>
      </c>
      <c r="U228">
        <v>142.19999999999999</v>
      </c>
      <c r="V228">
        <v>150.1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</row>
    <row r="229" spans="1:31" x14ac:dyDescent="0.3">
      <c r="A229" t="s">
        <v>49</v>
      </c>
      <c r="B229">
        <v>2019</v>
      </c>
      <c r="C229" t="s">
        <v>53</v>
      </c>
      <c r="D229" t="str">
        <f>_xlfn.CONCAT(All_India_Index_Upto_April23__1___1[[#This Row],[Year]],"-",All_India_Index_Upto_April23__1___1[[#This Row],[Month]])</f>
        <v>2019-May</v>
      </c>
      <c r="E229">
        <v>138.30000000000001</v>
      </c>
      <c r="F229">
        <v>158.5</v>
      </c>
      <c r="G229">
        <v>136</v>
      </c>
      <c r="H229">
        <v>142.5</v>
      </c>
      <c r="I229">
        <v>122</v>
      </c>
      <c r="J229">
        <v>146.5</v>
      </c>
      <c r="K229">
        <v>143</v>
      </c>
      <c r="L229">
        <v>124.9</v>
      </c>
      <c r="M229">
        <v>109.9</v>
      </c>
      <c r="N229">
        <v>139.9</v>
      </c>
      <c r="O229">
        <v>134</v>
      </c>
      <c r="P229">
        <v>155.5</v>
      </c>
      <c r="Q229">
        <v>140.9</v>
      </c>
      <c r="R229">
        <v>164.1</v>
      </c>
      <c r="S229">
        <v>148.4</v>
      </c>
      <c r="T229">
        <v>140.4</v>
      </c>
      <c r="U229">
        <v>147.30000000000001</v>
      </c>
      <c r="V229">
        <v>150.1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</row>
    <row r="230" spans="1:31" x14ac:dyDescent="0.3">
      <c r="A230" t="s">
        <v>46</v>
      </c>
      <c r="B230">
        <v>2019</v>
      </c>
      <c r="C230" t="s">
        <v>54</v>
      </c>
      <c r="D230" t="str">
        <f>_xlfn.CONCAT(All_India_Index_Upto_April23__1___1[[#This Row],[Year]],"-",All_India_Index_Upto_April23__1___1[[#This Row],[Month]])</f>
        <v>2019-June</v>
      </c>
      <c r="E230">
        <v>137.80000000000001</v>
      </c>
      <c r="F230">
        <v>163.5</v>
      </c>
      <c r="G230">
        <v>136.19999999999999</v>
      </c>
      <c r="H230">
        <v>143.19999999999999</v>
      </c>
      <c r="I230">
        <v>124.3</v>
      </c>
      <c r="J230">
        <v>143.30000000000001</v>
      </c>
      <c r="K230">
        <v>140.6</v>
      </c>
      <c r="L230">
        <v>128.69999999999999</v>
      </c>
      <c r="M230">
        <v>110.6</v>
      </c>
      <c r="N230">
        <v>140.4</v>
      </c>
      <c r="O230">
        <v>138</v>
      </c>
      <c r="P230">
        <v>156.6</v>
      </c>
      <c r="Q230">
        <v>141</v>
      </c>
      <c r="R230">
        <v>164.2</v>
      </c>
      <c r="S230">
        <v>151.4</v>
      </c>
      <c r="T230">
        <v>146.5</v>
      </c>
      <c r="U230">
        <v>150.69999999999999</v>
      </c>
      <c r="V230">
        <v>149.4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</row>
    <row r="231" spans="1:31" x14ac:dyDescent="0.3">
      <c r="A231" t="s">
        <v>48</v>
      </c>
      <c r="B231">
        <v>2019</v>
      </c>
      <c r="C231" t="s">
        <v>54</v>
      </c>
      <c r="D231" t="str">
        <f>_xlfn.CONCAT(All_India_Index_Upto_April23__1___1[[#This Row],[Year]],"-",All_India_Index_Upto_April23__1___1[[#This Row],[Month]])</f>
        <v>2019-June</v>
      </c>
      <c r="E231">
        <v>140.69999999999999</v>
      </c>
      <c r="F231">
        <v>159.6</v>
      </c>
      <c r="G231">
        <v>140.4</v>
      </c>
      <c r="H231">
        <v>143.4</v>
      </c>
      <c r="I231">
        <v>118.6</v>
      </c>
      <c r="J231">
        <v>150.9</v>
      </c>
      <c r="K231">
        <v>169.8</v>
      </c>
      <c r="L231">
        <v>127.4</v>
      </c>
      <c r="M231">
        <v>111.8</v>
      </c>
      <c r="N231">
        <v>141</v>
      </c>
      <c r="O231">
        <v>129</v>
      </c>
      <c r="P231">
        <v>155.1</v>
      </c>
      <c r="Q231">
        <v>145.6</v>
      </c>
      <c r="R231">
        <v>166.7</v>
      </c>
      <c r="S231">
        <v>144.30000000000001</v>
      </c>
      <c r="T231">
        <v>131.69999999999999</v>
      </c>
      <c r="U231">
        <v>142.4</v>
      </c>
      <c r="V231">
        <v>149.4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</row>
    <row r="232" spans="1:31" x14ac:dyDescent="0.3">
      <c r="A232" t="s">
        <v>49</v>
      </c>
      <c r="B232">
        <v>2019</v>
      </c>
      <c r="C232" t="s">
        <v>54</v>
      </c>
      <c r="D232" t="str">
        <f>_xlfn.CONCAT(All_India_Index_Upto_April23__1___1[[#This Row],[Year]],"-",All_India_Index_Upto_April23__1___1[[#This Row],[Month]])</f>
        <v>2019-June</v>
      </c>
      <c r="E232">
        <v>138.69999999999999</v>
      </c>
      <c r="F232">
        <v>162.1</v>
      </c>
      <c r="G232">
        <v>137.80000000000001</v>
      </c>
      <c r="H232">
        <v>143.30000000000001</v>
      </c>
      <c r="I232">
        <v>122.2</v>
      </c>
      <c r="J232">
        <v>146.80000000000001</v>
      </c>
      <c r="K232">
        <v>150.5</v>
      </c>
      <c r="L232">
        <v>128.30000000000001</v>
      </c>
      <c r="M232">
        <v>111</v>
      </c>
      <c r="N232">
        <v>140.6</v>
      </c>
      <c r="O232">
        <v>134.19999999999999</v>
      </c>
      <c r="P232">
        <v>155.9</v>
      </c>
      <c r="Q232">
        <v>142.69999999999999</v>
      </c>
      <c r="R232">
        <v>164.9</v>
      </c>
      <c r="S232">
        <v>148.6</v>
      </c>
      <c r="T232">
        <v>140.4</v>
      </c>
      <c r="U232">
        <v>147.4</v>
      </c>
      <c r="V232">
        <v>149.4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</row>
    <row r="233" spans="1:31" x14ac:dyDescent="0.3">
      <c r="A233" t="s">
        <v>46</v>
      </c>
      <c r="B233">
        <v>2019</v>
      </c>
      <c r="C233" t="s">
        <v>55</v>
      </c>
      <c r="D233" t="str">
        <f>_xlfn.CONCAT(All_India_Index_Upto_April23__1___1[[#This Row],[Year]],"-",All_India_Index_Upto_April23__1___1[[#This Row],[Month]])</f>
        <v>2019-July</v>
      </c>
      <c r="E233">
        <v>138.4</v>
      </c>
      <c r="F233">
        <v>164</v>
      </c>
      <c r="G233">
        <v>138.4</v>
      </c>
      <c r="H233">
        <v>143.9</v>
      </c>
      <c r="I233">
        <v>124.4</v>
      </c>
      <c r="J233">
        <v>146.4</v>
      </c>
      <c r="K233">
        <v>150.1</v>
      </c>
      <c r="L233">
        <v>130.6</v>
      </c>
      <c r="M233">
        <v>110.8</v>
      </c>
      <c r="N233">
        <v>141.69999999999999</v>
      </c>
      <c r="O233">
        <v>138.5</v>
      </c>
      <c r="P233">
        <v>156.69999999999999</v>
      </c>
      <c r="Q233">
        <v>143</v>
      </c>
      <c r="R233">
        <v>164.5</v>
      </c>
      <c r="S233">
        <v>151.6</v>
      </c>
      <c r="T233">
        <v>146.6</v>
      </c>
      <c r="U233">
        <v>150.9</v>
      </c>
      <c r="V233">
        <v>150.6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</row>
    <row r="234" spans="1:31" x14ac:dyDescent="0.3">
      <c r="A234" t="s">
        <v>48</v>
      </c>
      <c r="B234">
        <v>2019</v>
      </c>
      <c r="C234" t="s">
        <v>55</v>
      </c>
      <c r="D234" t="str">
        <f>_xlfn.CONCAT(All_India_Index_Upto_April23__1___1[[#This Row],[Year]],"-",All_India_Index_Upto_April23__1___1[[#This Row],[Month]])</f>
        <v>2019-July</v>
      </c>
      <c r="E234">
        <v>141.4</v>
      </c>
      <c r="F234">
        <v>160.19999999999999</v>
      </c>
      <c r="G234">
        <v>142.5</v>
      </c>
      <c r="H234">
        <v>144.1</v>
      </c>
      <c r="I234">
        <v>119.3</v>
      </c>
      <c r="J234">
        <v>154.69999999999999</v>
      </c>
      <c r="K234">
        <v>180.1</v>
      </c>
      <c r="L234">
        <v>128.9</v>
      </c>
      <c r="M234">
        <v>111.8</v>
      </c>
      <c r="N234">
        <v>141.6</v>
      </c>
      <c r="O234">
        <v>129.5</v>
      </c>
      <c r="P234">
        <v>155.6</v>
      </c>
      <c r="Q234">
        <v>147.69999999999999</v>
      </c>
      <c r="R234">
        <v>167.2</v>
      </c>
      <c r="S234">
        <v>144.69999999999999</v>
      </c>
      <c r="T234">
        <v>131.9</v>
      </c>
      <c r="U234">
        <v>142.69999999999999</v>
      </c>
      <c r="V234">
        <v>150.6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</row>
    <row r="235" spans="1:31" x14ac:dyDescent="0.3">
      <c r="A235" t="s">
        <v>49</v>
      </c>
      <c r="B235">
        <v>2019</v>
      </c>
      <c r="C235" t="s">
        <v>55</v>
      </c>
      <c r="D235" t="str">
        <f>_xlfn.CONCAT(All_India_Index_Upto_April23__1___1[[#This Row],[Year]],"-",All_India_Index_Upto_April23__1___1[[#This Row],[Month]])</f>
        <v>2019-July</v>
      </c>
      <c r="E235">
        <v>139.30000000000001</v>
      </c>
      <c r="F235">
        <v>162.69999999999999</v>
      </c>
      <c r="G235">
        <v>140</v>
      </c>
      <c r="H235">
        <v>144</v>
      </c>
      <c r="I235">
        <v>122.5</v>
      </c>
      <c r="J235">
        <v>150.30000000000001</v>
      </c>
      <c r="K235">
        <v>160.30000000000001</v>
      </c>
      <c r="L235">
        <v>130</v>
      </c>
      <c r="M235">
        <v>111.1</v>
      </c>
      <c r="N235">
        <v>141.69999999999999</v>
      </c>
      <c r="O235">
        <v>134.69999999999999</v>
      </c>
      <c r="P235">
        <v>156.19999999999999</v>
      </c>
      <c r="Q235">
        <v>144.69999999999999</v>
      </c>
      <c r="R235">
        <v>165.2</v>
      </c>
      <c r="S235">
        <v>148.9</v>
      </c>
      <c r="T235">
        <v>140.5</v>
      </c>
      <c r="U235">
        <v>147.6</v>
      </c>
      <c r="V235">
        <v>150.6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</row>
    <row r="236" spans="1:31" x14ac:dyDescent="0.3">
      <c r="A236" t="s">
        <v>46</v>
      </c>
      <c r="B236">
        <v>2019</v>
      </c>
      <c r="C236" t="s">
        <v>56</v>
      </c>
      <c r="D236" t="str">
        <f>_xlfn.CONCAT(All_India_Index_Upto_April23__1___1[[#This Row],[Year]],"-",All_India_Index_Upto_April23__1___1[[#This Row],[Month]])</f>
        <v>2019-August</v>
      </c>
      <c r="E236">
        <v>139.19999999999999</v>
      </c>
      <c r="F236">
        <v>161.9</v>
      </c>
      <c r="G236">
        <v>137.1</v>
      </c>
      <c r="H236">
        <v>144.6</v>
      </c>
      <c r="I236">
        <v>124.7</v>
      </c>
      <c r="J236">
        <v>145.5</v>
      </c>
      <c r="K236">
        <v>156.19999999999999</v>
      </c>
      <c r="L236">
        <v>131.5</v>
      </c>
      <c r="M236">
        <v>111.7</v>
      </c>
      <c r="N236">
        <v>142.69999999999999</v>
      </c>
      <c r="O236">
        <v>138.5</v>
      </c>
      <c r="P236">
        <v>156.9</v>
      </c>
      <c r="Q236">
        <v>144</v>
      </c>
      <c r="R236">
        <v>165.1</v>
      </c>
      <c r="S236">
        <v>151.80000000000001</v>
      </c>
      <c r="T236">
        <v>146.6</v>
      </c>
      <c r="U236">
        <v>151.1</v>
      </c>
      <c r="V236">
        <v>151.6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</row>
    <row r="237" spans="1:31" x14ac:dyDescent="0.3">
      <c r="A237" t="s">
        <v>48</v>
      </c>
      <c r="B237">
        <v>2019</v>
      </c>
      <c r="C237" t="s">
        <v>56</v>
      </c>
      <c r="D237" t="str">
        <f>_xlfn.CONCAT(All_India_Index_Upto_April23__1___1[[#This Row],[Year]],"-",All_India_Index_Upto_April23__1___1[[#This Row],[Month]])</f>
        <v>2019-August</v>
      </c>
      <c r="E237">
        <v>142.1</v>
      </c>
      <c r="F237">
        <v>158.30000000000001</v>
      </c>
      <c r="G237">
        <v>140.80000000000001</v>
      </c>
      <c r="H237">
        <v>144.9</v>
      </c>
      <c r="I237">
        <v>119.9</v>
      </c>
      <c r="J237">
        <v>153.9</v>
      </c>
      <c r="K237">
        <v>189.1</v>
      </c>
      <c r="L237">
        <v>129.80000000000001</v>
      </c>
      <c r="M237">
        <v>112.7</v>
      </c>
      <c r="N237">
        <v>142.5</v>
      </c>
      <c r="O237">
        <v>129.80000000000001</v>
      </c>
      <c r="P237">
        <v>156.19999999999999</v>
      </c>
      <c r="Q237">
        <v>149.1</v>
      </c>
      <c r="R237">
        <v>167.9</v>
      </c>
      <c r="S237">
        <v>145</v>
      </c>
      <c r="T237">
        <v>132.19999999999999</v>
      </c>
      <c r="U237">
        <v>143</v>
      </c>
      <c r="V237">
        <v>151.6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</row>
    <row r="238" spans="1:31" x14ac:dyDescent="0.3">
      <c r="A238" t="s">
        <v>49</v>
      </c>
      <c r="B238">
        <v>2019</v>
      </c>
      <c r="C238" t="s">
        <v>56</v>
      </c>
      <c r="D238" t="str">
        <f>_xlfn.CONCAT(All_India_Index_Upto_April23__1___1[[#This Row],[Year]],"-",All_India_Index_Upto_April23__1___1[[#This Row],[Month]])</f>
        <v>2019-August</v>
      </c>
      <c r="E238">
        <v>140.1</v>
      </c>
      <c r="F238">
        <v>160.6</v>
      </c>
      <c r="G238">
        <v>138.5</v>
      </c>
      <c r="H238">
        <v>144.69999999999999</v>
      </c>
      <c r="I238">
        <v>122.9</v>
      </c>
      <c r="J238">
        <v>149.4</v>
      </c>
      <c r="K238">
        <v>167.4</v>
      </c>
      <c r="L238">
        <v>130.9</v>
      </c>
      <c r="M238">
        <v>112</v>
      </c>
      <c r="N238">
        <v>142.6</v>
      </c>
      <c r="O238">
        <v>134.9</v>
      </c>
      <c r="P238">
        <v>156.6</v>
      </c>
      <c r="Q238">
        <v>145.9</v>
      </c>
      <c r="R238">
        <v>165.8</v>
      </c>
      <c r="S238">
        <v>149.1</v>
      </c>
      <c r="T238">
        <v>140.6</v>
      </c>
      <c r="U238">
        <v>147.9</v>
      </c>
      <c r="V238">
        <v>151.6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</row>
    <row r="239" spans="1:31" x14ac:dyDescent="0.3">
      <c r="A239" t="s">
        <v>46</v>
      </c>
      <c r="B239">
        <v>2019</v>
      </c>
      <c r="C239" t="s">
        <v>57</v>
      </c>
      <c r="D239" t="str">
        <f>_xlfn.CONCAT(All_India_Index_Upto_April23__1___1[[#This Row],[Year]],"-",All_India_Index_Upto_April23__1___1[[#This Row],[Month]])</f>
        <v>2019-September</v>
      </c>
      <c r="E239">
        <v>140.1</v>
      </c>
      <c r="F239">
        <v>161.9</v>
      </c>
      <c r="G239">
        <v>138.30000000000001</v>
      </c>
      <c r="H239">
        <v>145.69999999999999</v>
      </c>
      <c r="I239">
        <v>125.1</v>
      </c>
      <c r="J239">
        <v>143.80000000000001</v>
      </c>
      <c r="K239">
        <v>163.4</v>
      </c>
      <c r="L239">
        <v>132.19999999999999</v>
      </c>
      <c r="M239">
        <v>112.8</v>
      </c>
      <c r="N239">
        <v>144.19999999999999</v>
      </c>
      <c r="O239">
        <v>138.5</v>
      </c>
      <c r="P239">
        <v>157.19999999999999</v>
      </c>
      <c r="Q239">
        <v>145.5</v>
      </c>
      <c r="R239">
        <v>165.7</v>
      </c>
      <c r="S239">
        <v>151.69999999999999</v>
      </c>
      <c r="T239">
        <v>146.6</v>
      </c>
      <c r="U239">
        <v>151</v>
      </c>
      <c r="V239">
        <v>152.19999999999999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</row>
    <row r="240" spans="1:31" x14ac:dyDescent="0.3">
      <c r="A240" t="s">
        <v>48</v>
      </c>
      <c r="B240">
        <v>2019</v>
      </c>
      <c r="C240" t="s">
        <v>57</v>
      </c>
      <c r="D240" t="str">
        <f>_xlfn.CONCAT(All_India_Index_Upto_April23__1___1[[#This Row],[Year]],"-",All_India_Index_Upto_April23__1___1[[#This Row],[Month]])</f>
        <v>2019-September</v>
      </c>
      <c r="E240">
        <v>142.69999999999999</v>
      </c>
      <c r="F240">
        <v>158.69999999999999</v>
      </c>
      <c r="G240">
        <v>141.6</v>
      </c>
      <c r="H240">
        <v>144.9</v>
      </c>
      <c r="I240">
        <v>120.8</v>
      </c>
      <c r="J240">
        <v>149.80000000000001</v>
      </c>
      <c r="K240">
        <v>192.4</v>
      </c>
      <c r="L240">
        <v>130.30000000000001</v>
      </c>
      <c r="M240">
        <v>114</v>
      </c>
      <c r="N240">
        <v>143.80000000000001</v>
      </c>
      <c r="O240">
        <v>130</v>
      </c>
      <c r="P240">
        <v>156.4</v>
      </c>
      <c r="Q240">
        <v>149.5</v>
      </c>
      <c r="R240">
        <v>168.6</v>
      </c>
      <c r="S240">
        <v>145.30000000000001</v>
      </c>
      <c r="T240">
        <v>132.19999999999999</v>
      </c>
      <c r="U240">
        <v>143.30000000000001</v>
      </c>
      <c r="V240">
        <v>152.19999999999999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</row>
    <row r="241" spans="1:31" x14ac:dyDescent="0.3">
      <c r="A241" t="s">
        <v>49</v>
      </c>
      <c r="B241">
        <v>2019</v>
      </c>
      <c r="C241" t="s">
        <v>57</v>
      </c>
      <c r="D241" t="str">
        <f>_xlfn.CONCAT(All_India_Index_Upto_April23__1___1[[#This Row],[Year]],"-",All_India_Index_Upto_April23__1___1[[#This Row],[Month]])</f>
        <v>2019-September</v>
      </c>
      <c r="E241">
        <v>140.9</v>
      </c>
      <c r="F241">
        <v>160.80000000000001</v>
      </c>
      <c r="G241">
        <v>139.6</v>
      </c>
      <c r="H241">
        <v>145.4</v>
      </c>
      <c r="I241">
        <v>123.5</v>
      </c>
      <c r="J241">
        <v>146.6</v>
      </c>
      <c r="K241">
        <v>173.2</v>
      </c>
      <c r="L241">
        <v>131.6</v>
      </c>
      <c r="M241">
        <v>113.2</v>
      </c>
      <c r="N241">
        <v>144.1</v>
      </c>
      <c r="O241">
        <v>135</v>
      </c>
      <c r="P241">
        <v>156.80000000000001</v>
      </c>
      <c r="Q241">
        <v>147</v>
      </c>
      <c r="R241">
        <v>166.5</v>
      </c>
      <c r="S241">
        <v>149.19999999999999</v>
      </c>
      <c r="T241">
        <v>140.6</v>
      </c>
      <c r="U241">
        <v>147.9</v>
      </c>
      <c r="V241">
        <v>152.19999999999999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</row>
    <row r="242" spans="1:31" x14ac:dyDescent="0.3">
      <c r="A242" t="s">
        <v>46</v>
      </c>
      <c r="B242">
        <v>2019</v>
      </c>
      <c r="C242" t="s">
        <v>58</v>
      </c>
      <c r="D242" t="str">
        <f>_xlfn.CONCAT(All_India_Index_Upto_April23__1___1[[#This Row],[Year]],"-",All_India_Index_Upto_April23__1___1[[#This Row],[Month]])</f>
        <v>2019-October</v>
      </c>
      <c r="E242">
        <v>141</v>
      </c>
      <c r="F242">
        <v>161.6</v>
      </c>
      <c r="G242">
        <v>141.19999999999999</v>
      </c>
      <c r="H242">
        <v>146.5</v>
      </c>
      <c r="I242">
        <v>125.6</v>
      </c>
      <c r="J242">
        <v>145.69999999999999</v>
      </c>
      <c r="K242">
        <v>178.8</v>
      </c>
      <c r="L242">
        <v>133.1</v>
      </c>
      <c r="M242">
        <v>113.6</v>
      </c>
      <c r="N242">
        <v>145.5</v>
      </c>
      <c r="O242">
        <v>138.6</v>
      </c>
      <c r="P242">
        <v>157.4</v>
      </c>
      <c r="Q242">
        <v>148.30000000000001</v>
      </c>
      <c r="R242">
        <v>166.3</v>
      </c>
      <c r="S242">
        <v>151.69999999999999</v>
      </c>
      <c r="T242">
        <v>146.69999999999999</v>
      </c>
      <c r="U242">
        <v>151</v>
      </c>
      <c r="V242">
        <v>153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</row>
    <row r="243" spans="1:31" x14ac:dyDescent="0.3">
      <c r="A243" t="s">
        <v>48</v>
      </c>
      <c r="B243">
        <v>2019</v>
      </c>
      <c r="C243" t="s">
        <v>58</v>
      </c>
      <c r="D243" t="str">
        <f>_xlfn.CONCAT(All_India_Index_Upto_April23__1___1[[#This Row],[Year]],"-",All_India_Index_Upto_April23__1___1[[#This Row],[Month]])</f>
        <v>2019-October</v>
      </c>
      <c r="E243">
        <v>143.5</v>
      </c>
      <c r="F243">
        <v>159.80000000000001</v>
      </c>
      <c r="G243">
        <v>144.69999999999999</v>
      </c>
      <c r="H243">
        <v>145.6</v>
      </c>
      <c r="I243">
        <v>121.1</v>
      </c>
      <c r="J243">
        <v>150.6</v>
      </c>
      <c r="K243">
        <v>207.2</v>
      </c>
      <c r="L243">
        <v>131.19999999999999</v>
      </c>
      <c r="M243">
        <v>114.8</v>
      </c>
      <c r="N243">
        <v>145.19999999999999</v>
      </c>
      <c r="O243">
        <v>130.19999999999999</v>
      </c>
      <c r="P243">
        <v>156.80000000000001</v>
      </c>
      <c r="Q243">
        <v>151.9</v>
      </c>
      <c r="R243">
        <v>169.3</v>
      </c>
      <c r="S243">
        <v>145.9</v>
      </c>
      <c r="T243">
        <v>132.4</v>
      </c>
      <c r="U243">
        <v>143.9</v>
      </c>
      <c r="V243">
        <v>153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</row>
    <row r="244" spans="1:31" x14ac:dyDescent="0.3">
      <c r="A244" t="s">
        <v>49</v>
      </c>
      <c r="B244">
        <v>2019</v>
      </c>
      <c r="C244" t="s">
        <v>58</v>
      </c>
      <c r="D244" t="str">
        <f>_xlfn.CONCAT(All_India_Index_Upto_April23__1___1[[#This Row],[Year]],"-",All_India_Index_Upto_April23__1___1[[#This Row],[Month]])</f>
        <v>2019-October</v>
      </c>
      <c r="E244">
        <v>141.80000000000001</v>
      </c>
      <c r="F244">
        <v>161</v>
      </c>
      <c r="G244">
        <v>142.6</v>
      </c>
      <c r="H244">
        <v>146.19999999999999</v>
      </c>
      <c r="I244">
        <v>123.9</v>
      </c>
      <c r="J244">
        <v>148</v>
      </c>
      <c r="K244">
        <v>188.4</v>
      </c>
      <c r="L244">
        <v>132.5</v>
      </c>
      <c r="M244">
        <v>114</v>
      </c>
      <c r="N244">
        <v>145.4</v>
      </c>
      <c r="O244">
        <v>135.1</v>
      </c>
      <c r="P244">
        <v>157.1</v>
      </c>
      <c r="Q244">
        <v>149.6</v>
      </c>
      <c r="R244">
        <v>167.1</v>
      </c>
      <c r="S244">
        <v>149.4</v>
      </c>
      <c r="T244">
        <v>140.80000000000001</v>
      </c>
      <c r="U244">
        <v>148.19999999999999</v>
      </c>
      <c r="V244">
        <v>153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</row>
    <row r="245" spans="1:31" x14ac:dyDescent="0.3">
      <c r="A245" t="s">
        <v>46</v>
      </c>
      <c r="B245">
        <v>2019</v>
      </c>
      <c r="C245" t="s">
        <v>60</v>
      </c>
      <c r="D245" t="str">
        <f>_xlfn.CONCAT(All_India_Index_Upto_April23__1___1[[#This Row],[Year]],"-",All_India_Index_Upto_April23__1___1[[#This Row],[Month]])</f>
        <v>2019-November</v>
      </c>
      <c r="E245">
        <v>141.80000000000001</v>
      </c>
      <c r="F245">
        <v>163.69999999999999</v>
      </c>
      <c r="G245">
        <v>143.80000000000001</v>
      </c>
      <c r="H245">
        <v>147.1</v>
      </c>
      <c r="I245">
        <v>126</v>
      </c>
      <c r="J245">
        <v>146.19999999999999</v>
      </c>
      <c r="K245">
        <v>191.4</v>
      </c>
      <c r="L245">
        <v>136.19999999999999</v>
      </c>
      <c r="M245">
        <v>113.8</v>
      </c>
      <c r="N245">
        <v>147.30000000000001</v>
      </c>
      <c r="O245">
        <v>138.69999999999999</v>
      </c>
      <c r="P245">
        <v>157.69999999999999</v>
      </c>
      <c r="Q245">
        <v>150.9</v>
      </c>
      <c r="R245">
        <v>167.2</v>
      </c>
      <c r="S245">
        <v>152.30000000000001</v>
      </c>
      <c r="T245">
        <v>147</v>
      </c>
      <c r="U245">
        <v>151.5</v>
      </c>
      <c r="V245">
        <v>153.5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</row>
    <row r="246" spans="1:31" x14ac:dyDescent="0.3">
      <c r="A246" t="s">
        <v>48</v>
      </c>
      <c r="B246">
        <v>2019</v>
      </c>
      <c r="C246" t="s">
        <v>60</v>
      </c>
      <c r="D246" t="str">
        <f>_xlfn.CONCAT(All_India_Index_Upto_April23__1___1[[#This Row],[Year]],"-",All_India_Index_Upto_April23__1___1[[#This Row],[Month]])</f>
        <v>2019-November</v>
      </c>
      <c r="E246">
        <v>144.1</v>
      </c>
      <c r="F246">
        <v>162.4</v>
      </c>
      <c r="G246">
        <v>148.4</v>
      </c>
      <c r="H246">
        <v>145.9</v>
      </c>
      <c r="I246">
        <v>121.5</v>
      </c>
      <c r="J246">
        <v>148.80000000000001</v>
      </c>
      <c r="K246">
        <v>215.7</v>
      </c>
      <c r="L246">
        <v>134.6</v>
      </c>
      <c r="M246">
        <v>115</v>
      </c>
      <c r="N246">
        <v>146.30000000000001</v>
      </c>
      <c r="O246">
        <v>130.5</v>
      </c>
      <c r="P246">
        <v>157.19999999999999</v>
      </c>
      <c r="Q246">
        <v>153.6</v>
      </c>
      <c r="R246">
        <v>169.9</v>
      </c>
      <c r="S246">
        <v>146.30000000000001</v>
      </c>
      <c r="T246">
        <v>132.6</v>
      </c>
      <c r="U246">
        <v>144.19999999999999</v>
      </c>
      <c r="V246">
        <v>153.5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</row>
    <row r="247" spans="1:31" x14ac:dyDescent="0.3">
      <c r="A247" t="s">
        <v>49</v>
      </c>
      <c r="B247">
        <v>2019</v>
      </c>
      <c r="C247" t="s">
        <v>60</v>
      </c>
      <c r="D247" t="str">
        <f>_xlfn.CONCAT(All_India_Index_Upto_April23__1___1[[#This Row],[Year]],"-",All_India_Index_Upto_April23__1___1[[#This Row],[Month]])</f>
        <v>2019-November</v>
      </c>
      <c r="E247">
        <v>142.5</v>
      </c>
      <c r="F247">
        <v>163.19999999999999</v>
      </c>
      <c r="G247">
        <v>145.6</v>
      </c>
      <c r="H247">
        <v>146.69999999999999</v>
      </c>
      <c r="I247">
        <v>124.3</v>
      </c>
      <c r="J247">
        <v>147.4</v>
      </c>
      <c r="K247">
        <v>199.6</v>
      </c>
      <c r="L247">
        <v>135.69999999999999</v>
      </c>
      <c r="M247">
        <v>114.2</v>
      </c>
      <c r="N247">
        <v>147</v>
      </c>
      <c r="O247">
        <v>135.30000000000001</v>
      </c>
      <c r="P247">
        <v>157.5</v>
      </c>
      <c r="Q247">
        <v>151.9</v>
      </c>
      <c r="R247">
        <v>167.9</v>
      </c>
      <c r="S247">
        <v>149.9</v>
      </c>
      <c r="T247">
        <v>141</v>
      </c>
      <c r="U247">
        <v>148.6</v>
      </c>
      <c r="V247">
        <v>153.5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</row>
    <row r="248" spans="1:31" x14ac:dyDescent="0.3">
      <c r="A248" t="s">
        <v>46</v>
      </c>
      <c r="B248">
        <v>2019</v>
      </c>
      <c r="C248" t="s">
        <v>61</v>
      </c>
      <c r="D248" t="str">
        <f>_xlfn.CONCAT(All_India_Index_Upto_April23__1___1[[#This Row],[Year]],"-",All_India_Index_Upto_April23__1___1[[#This Row],[Month]])</f>
        <v>2019-December</v>
      </c>
      <c r="E248">
        <v>142.80000000000001</v>
      </c>
      <c r="F248">
        <v>165.3</v>
      </c>
      <c r="G248">
        <v>149.5</v>
      </c>
      <c r="H248">
        <v>148.69999999999999</v>
      </c>
      <c r="I248">
        <v>127.5</v>
      </c>
      <c r="J248">
        <v>144.30000000000001</v>
      </c>
      <c r="K248">
        <v>209.5</v>
      </c>
      <c r="L248">
        <v>138.80000000000001</v>
      </c>
      <c r="M248">
        <v>113.6</v>
      </c>
      <c r="N248">
        <v>149.1</v>
      </c>
      <c r="O248">
        <v>139.30000000000001</v>
      </c>
      <c r="P248">
        <v>158.30000000000001</v>
      </c>
      <c r="Q248">
        <v>154.30000000000001</v>
      </c>
      <c r="R248">
        <v>167.8</v>
      </c>
      <c r="S248">
        <v>152.6</v>
      </c>
      <c r="T248">
        <v>147.30000000000001</v>
      </c>
      <c r="U248">
        <v>151.9</v>
      </c>
      <c r="V248">
        <v>152.80000000000001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</row>
    <row r="249" spans="1:31" x14ac:dyDescent="0.3">
      <c r="A249" t="s">
        <v>48</v>
      </c>
      <c r="B249">
        <v>2019</v>
      </c>
      <c r="C249" t="s">
        <v>61</v>
      </c>
      <c r="D249" t="str">
        <f>_xlfn.CONCAT(All_India_Index_Upto_April23__1___1[[#This Row],[Year]],"-",All_India_Index_Upto_April23__1___1[[#This Row],[Month]])</f>
        <v>2019-December</v>
      </c>
      <c r="E249">
        <v>144.9</v>
      </c>
      <c r="F249">
        <v>164.5</v>
      </c>
      <c r="G249">
        <v>153.69999999999999</v>
      </c>
      <c r="H249">
        <v>147.5</v>
      </c>
      <c r="I249">
        <v>122.7</v>
      </c>
      <c r="J249">
        <v>147.19999999999999</v>
      </c>
      <c r="K249">
        <v>231.5</v>
      </c>
      <c r="L249">
        <v>137.19999999999999</v>
      </c>
      <c r="M249">
        <v>114.7</v>
      </c>
      <c r="N249">
        <v>148</v>
      </c>
      <c r="O249">
        <v>130.80000000000001</v>
      </c>
      <c r="P249">
        <v>157.69999999999999</v>
      </c>
      <c r="Q249">
        <v>156.30000000000001</v>
      </c>
      <c r="R249">
        <v>170.4</v>
      </c>
      <c r="S249">
        <v>146.80000000000001</v>
      </c>
      <c r="T249">
        <v>132.80000000000001</v>
      </c>
      <c r="U249">
        <v>144.6</v>
      </c>
      <c r="V249">
        <v>152.80000000000001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</row>
    <row r="250" spans="1:31" x14ac:dyDescent="0.3">
      <c r="A250" t="s">
        <v>49</v>
      </c>
      <c r="B250">
        <v>2019</v>
      </c>
      <c r="C250" t="s">
        <v>61</v>
      </c>
      <c r="D250" t="str">
        <f>_xlfn.CONCAT(All_India_Index_Upto_April23__1___1[[#This Row],[Year]],"-",All_India_Index_Upto_April23__1___1[[#This Row],[Month]])</f>
        <v>2019-December</v>
      </c>
      <c r="E250">
        <v>143.5</v>
      </c>
      <c r="F250">
        <v>165</v>
      </c>
      <c r="G250">
        <v>151.1</v>
      </c>
      <c r="H250">
        <v>148.30000000000001</v>
      </c>
      <c r="I250">
        <v>125.7</v>
      </c>
      <c r="J250">
        <v>145.69999999999999</v>
      </c>
      <c r="K250">
        <v>217</v>
      </c>
      <c r="L250">
        <v>138.30000000000001</v>
      </c>
      <c r="M250">
        <v>114</v>
      </c>
      <c r="N250">
        <v>148.69999999999999</v>
      </c>
      <c r="O250">
        <v>135.80000000000001</v>
      </c>
      <c r="P250">
        <v>158</v>
      </c>
      <c r="Q250">
        <v>155</v>
      </c>
      <c r="R250">
        <v>168.5</v>
      </c>
      <c r="S250">
        <v>150.30000000000001</v>
      </c>
      <c r="T250">
        <v>141.30000000000001</v>
      </c>
      <c r="U250">
        <v>149</v>
      </c>
      <c r="V250">
        <v>152.80000000000001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</row>
    <row r="251" spans="1:31" x14ac:dyDescent="0.3">
      <c r="A251" t="s">
        <v>46</v>
      </c>
      <c r="B251">
        <v>2020</v>
      </c>
      <c r="C251" t="s">
        <v>47</v>
      </c>
      <c r="D251" t="str">
        <f>_xlfn.CONCAT(All_India_Index_Upto_April23__1___1[[#This Row],[Year]],"-",All_India_Index_Upto_April23__1___1[[#This Row],[Month]])</f>
        <v>2020-January</v>
      </c>
      <c r="E251">
        <v>143.69999999999999</v>
      </c>
      <c r="F251">
        <v>167.3</v>
      </c>
      <c r="G251">
        <v>153.5</v>
      </c>
      <c r="H251">
        <v>150.5</v>
      </c>
      <c r="I251">
        <v>132</v>
      </c>
      <c r="J251">
        <v>142.19999999999999</v>
      </c>
      <c r="K251">
        <v>191.5</v>
      </c>
      <c r="L251">
        <v>141.1</v>
      </c>
      <c r="M251">
        <v>113.8</v>
      </c>
      <c r="N251">
        <v>151.6</v>
      </c>
      <c r="O251">
        <v>139.69999999999999</v>
      </c>
      <c r="P251">
        <v>158.69999999999999</v>
      </c>
      <c r="Q251">
        <v>153</v>
      </c>
      <c r="R251">
        <v>168.6</v>
      </c>
      <c r="S251">
        <v>152.80000000000001</v>
      </c>
      <c r="T251">
        <v>147.4</v>
      </c>
      <c r="U251">
        <v>152.1</v>
      </c>
      <c r="V251">
        <v>153.9</v>
      </c>
      <c r="W251">
        <v>150.4</v>
      </c>
      <c r="X251">
        <v>151.69999999999999</v>
      </c>
      <c r="Y251">
        <v>155.69999999999999</v>
      </c>
      <c r="Z251">
        <v>136.30000000000001</v>
      </c>
      <c r="AA251">
        <v>150.1</v>
      </c>
      <c r="AB251">
        <v>161.69999999999999</v>
      </c>
      <c r="AC251">
        <v>142.5</v>
      </c>
      <c r="AD251">
        <v>148.1</v>
      </c>
      <c r="AE251">
        <v>151.9</v>
      </c>
    </row>
    <row r="252" spans="1:31" x14ac:dyDescent="0.3">
      <c r="A252" t="s">
        <v>48</v>
      </c>
      <c r="B252">
        <v>2020</v>
      </c>
      <c r="C252" t="s">
        <v>47</v>
      </c>
      <c r="D252" t="str">
        <f>_xlfn.CONCAT(All_India_Index_Upto_April23__1___1[[#This Row],[Year]],"-",All_India_Index_Upto_April23__1___1[[#This Row],[Month]])</f>
        <v>2020-January</v>
      </c>
      <c r="E252">
        <v>145.6</v>
      </c>
      <c r="F252">
        <v>167.6</v>
      </c>
      <c r="G252">
        <v>157</v>
      </c>
      <c r="H252">
        <v>149.30000000000001</v>
      </c>
      <c r="I252">
        <v>126.3</v>
      </c>
      <c r="J252">
        <v>144.4</v>
      </c>
      <c r="K252">
        <v>207.8</v>
      </c>
      <c r="L252">
        <v>139.1</v>
      </c>
      <c r="M252">
        <v>114.8</v>
      </c>
      <c r="N252">
        <v>149.5</v>
      </c>
      <c r="O252">
        <v>131.1</v>
      </c>
      <c r="P252">
        <v>158.5</v>
      </c>
      <c r="Q252">
        <v>154.4</v>
      </c>
      <c r="R252">
        <v>170.8</v>
      </c>
      <c r="S252">
        <v>147</v>
      </c>
      <c r="T252">
        <v>133.19999999999999</v>
      </c>
      <c r="U252">
        <v>144.9</v>
      </c>
      <c r="V252">
        <v>153.9</v>
      </c>
      <c r="W252">
        <v>135.1</v>
      </c>
      <c r="X252">
        <v>140.1</v>
      </c>
      <c r="Y252">
        <v>143.80000000000001</v>
      </c>
      <c r="Z252">
        <v>126.1</v>
      </c>
      <c r="AA252">
        <v>137.19999999999999</v>
      </c>
      <c r="AB252">
        <v>152.1</v>
      </c>
      <c r="AC252">
        <v>142.1</v>
      </c>
      <c r="AD252">
        <v>138.4</v>
      </c>
      <c r="AE252">
        <v>148.19999999999999</v>
      </c>
    </row>
    <row r="253" spans="1:31" x14ac:dyDescent="0.3">
      <c r="A253" t="s">
        <v>49</v>
      </c>
      <c r="B253">
        <v>2020</v>
      </c>
      <c r="C253" t="s">
        <v>47</v>
      </c>
      <c r="D253" t="str">
        <f>_xlfn.CONCAT(All_India_Index_Upto_April23__1___1[[#This Row],[Year]],"-",All_India_Index_Upto_April23__1___1[[#This Row],[Month]])</f>
        <v>2020-January</v>
      </c>
      <c r="E253">
        <v>144.30000000000001</v>
      </c>
      <c r="F253">
        <v>167.4</v>
      </c>
      <c r="G253">
        <v>154.9</v>
      </c>
      <c r="H253">
        <v>150.1</v>
      </c>
      <c r="I253">
        <v>129.9</v>
      </c>
      <c r="J253">
        <v>143.19999999999999</v>
      </c>
      <c r="K253">
        <v>197</v>
      </c>
      <c r="L253">
        <v>140.4</v>
      </c>
      <c r="M253">
        <v>114.1</v>
      </c>
      <c r="N253">
        <v>150.9</v>
      </c>
      <c r="O253">
        <v>136.1</v>
      </c>
      <c r="P253">
        <v>158.6</v>
      </c>
      <c r="Q253">
        <v>153.5</v>
      </c>
      <c r="R253">
        <v>169.2</v>
      </c>
      <c r="S253">
        <v>150.5</v>
      </c>
      <c r="T253">
        <v>141.5</v>
      </c>
      <c r="U253">
        <v>149.19999999999999</v>
      </c>
      <c r="V253">
        <v>153.9</v>
      </c>
      <c r="W253">
        <v>144.6</v>
      </c>
      <c r="X253">
        <v>146.19999999999999</v>
      </c>
      <c r="Y253">
        <v>151.19999999999999</v>
      </c>
      <c r="Z253">
        <v>130.9</v>
      </c>
      <c r="AA253">
        <v>142.80000000000001</v>
      </c>
      <c r="AB253">
        <v>156.1</v>
      </c>
      <c r="AC253">
        <v>142.30000000000001</v>
      </c>
      <c r="AD253">
        <v>143.4</v>
      </c>
      <c r="AE253">
        <v>150.19999999999999</v>
      </c>
    </row>
    <row r="254" spans="1:31" x14ac:dyDescent="0.3">
      <c r="A254" t="s">
        <v>46</v>
      </c>
      <c r="B254">
        <v>2020</v>
      </c>
      <c r="C254" t="s">
        <v>50</v>
      </c>
      <c r="D254" t="str">
        <f>_xlfn.CONCAT(All_India_Index_Upto_April23__1___1[[#This Row],[Year]],"-",All_India_Index_Upto_April23__1___1[[#This Row],[Month]])</f>
        <v>2020-February</v>
      </c>
      <c r="E254">
        <v>144.19999999999999</v>
      </c>
      <c r="F254">
        <v>167.5</v>
      </c>
      <c r="G254">
        <v>150.9</v>
      </c>
      <c r="H254">
        <v>150.9</v>
      </c>
      <c r="I254">
        <v>133.69999999999999</v>
      </c>
      <c r="J254">
        <v>140.69999999999999</v>
      </c>
      <c r="K254">
        <v>165.1</v>
      </c>
      <c r="L254">
        <v>141.80000000000001</v>
      </c>
      <c r="M254">
        <v>113.1</v>
      </c>
      <c r="N254">
        <v>152.80000000000001</v>
      </c>
      <c r="O254">
        <v>140.1</v>
      </c>
      <c r="P254">
        <v>159.19999999999999</v>
      </c>
      <c r="Q254">
        <v>149.80000000000001</v>
      </c>
      <c r="R254">
        <v>169.4</v>
      </c>
      <c r="S254">
        <v>153</v>
      </c>
      <c r="T254">
        <v>147.5</v>
      </c>
      <c r="U254">
        <v>152.30000000000001</v>
      </c>
      <c r="V254">
        <v>154.80000000000001</v>
      </c>
      <c r="W254">
        <v>152.30000000000001</v>
      </c>
      <c r="X254">
        <v>151.80000000000001</v>
      </c>
      <c r="Y254">
        <v>156.19999999999999</v>
      </c>
      <c r="Z254">
        <v>136</v>
      </c>
      <c r="AA254">
        <v>150.4</v>
      </c>
      <c r="AB254">
        <v>161.9</v>
      </c>
      <c r="AC254">
        <v>143.4</v>
      </c>
      <c r="AD254">
        <v>148.4</v>
      </c>
      <c r="AE254">
        <v>150.4</v>
      </c>
    </row>
    <row r="255" spans="1:31" x14ac:dyDescent="0.3">
      <c r="A255" t="s">
        <v>48</v>
      </c>
      <c r="B255">
        <v>2020</v>
      </c>
      <c r="C255" t="s">
        <v>50</v>
      </c>
      <c r="D255" t="str">
        <f>_xlfn.CONCAT(All_India_Index_Upto_April23__1___1[[#This Row],[Year]],"-",All_India_Index_Upto_April23__1___1[[#This Row],[Month]])</f>
        <v>2020-February</v>
      </c>
      <c r="E255">
        <v>146.19999999999999</v>
      </c>
      <c r="F255">
        <v>167.6</v>
      </c>
      <c r="G255">
        <v>153.1</v>
      </c>
      <c r="H255">
        <v>150.69999999999999</v>
      </c>
      <c r="I255">
        <v>127.4</v>
      </c>
      <c r="J255">
        <v>143.1</v>
      </c>
      <c r="K255">
        <v>181.7</v>
      </c>
      <c r="L255">
        <v>139.6</v>
      </c>
      <c r="M255">
        <v>114.6</v>
      </c>
      <c r="N255">
        <v>150.4</v>
      </c>
      <c r="O255">
        <v>131.5</v>
      </c>
      <c r="P255">
        <v>159</v>
      </c>
      <c r="Q255">
        <v>151.69999999999999</v>
      </c>
      <c r="R255">
        <v>172</v>
      </c>
      <c r="S255">
        <v>147.30000000000001</v>
      </c>
      <c r="T255">
        <v>133.5</v>
      </c>
      <c r="U255">
        <v>145.19999999999999</v>
      </c>
      <c r="V255">
        <v>154.80000000000001</v>
      </c>
      <c r="W255">
        <v>138.9</v>
      </c>
      <c r="X255">
        <v>140.4</v>
      </c>
      <c r="Y255">
        <v>144.4</v>
      </c>
      <c r="Z255">
        <v>125.2</v>
      </c>
      <c r="AA255">
        <v>137.69999999999999</v>
      </c>
      <c r="AB255">
        <v>152.19999999999999</v>
      </c>
      <c r="AC255">
        <v>143.5</v>
      </c>
      <c r="AD255">
        <v>138.4</v>
      </c>
      <c r="AE255">
        <v>147.69999999999999</v>
      </c>
    </row>
    <row r="256" spans="1:31" x14ac:dyDescent="0.3">
      <c r="A256" t="s">
        <v>49</v>
      </c>
      <c r="B256">
        <v>2020</v>
      </c>
      <c r="C256" t="s">
        <v>50</v>
      </c>
      <c r="D256" t="str">
        <f>_xlfn.CONCAT(All_India_Index_Upto_April23__1___1[[#This Row],[Year]],"-",All_India_Index_Upto_April23__1___1[[#This Row],[Month]])</f>
        <v>2020-February</v>
      </c>
      <c r="E256">
        <v>144.80000000000001</v>
      </c>
      <c r="F256">
        <v>167.5</v>
      </c>
      <c r="G256">
        <v>151.80000000000001</v>
      </c>
      <c r="H256">
        <v>150.80000000000001</v>
      </c>
      <c r="I256">
        <v>131.4</v>
      </c>
      <c r="J256">
        <v>141.80000000000001</v>
      </c>
      <c r="K256">
        <v>170.7</v>
      </c>
      <c r="L256">
        <v>141.1</v>
      </c>
      <c r="M256">
        <v>113.6</v>
      </c>
      <c r="N256">
        <v>152</v>
      </c>
      <c r="O256">
        <v>136.5</v>
      </c>
      <c r="P256">
        <v>159.1</v>
      </c>
      <c r="Q256">
        <v>150.5</v>
      </c>
      <c r="R256">
        <v>170.1</v>
      </c>
      <c r="S256">
        <v>150.80000000000001</v>
      </c>
      <c r="T256">
        <v>141.69999999999999</v>
      </c>
      <c r="U256">
        <v>149.5</v>
      </c>
      <c r="V256">
        <v>154.80000000000001</v>
      </c>
      <c r="W256">
        <v>147.19999999999999</v>
      </c>
      <c r="X256">
        <v>146.4</v>
      </c>
      <c r="Y256">
        <v>151.69999999999999</v>
      </c>
      <c r="Z256">
        <v>130.30000000000001</v>
      </c>
      <c r="AA256">
        <v>143.19999999999999</v>
      </c>
      <c r="AB256">
        <v>156.19999999999999</v>
      </c>
      <c r="AC256">
        <v>143.4</v>
      </c>
      <c r="AD256">
        <v>143.6</v>
      </c>
      <c r="AE256">
        <v>149.1</v>
      </c>
    </row>
    <row r="257" spans="1:31" x14ac:dyDescent="0.3">
      <c r="A257" t="s">
        <v>46</v>
      </c>
      <c r="B257">
        <v>2020</v>
      </c>
      <c r="C257" t="s">
        <v>51</v>
      </c>
      <c r="D257" t="str">
        <f>_xlfn.CONCAT(All_India_Index_Upto_April23__1___1[[#This Row],[Year]],"-",All_India_Index_Upto_April23__1___1[[#This Row],[Month]])</f>
        <v>2020-March</v>
      </c>
      <c r="E257">
        <v>144.4</v>
      </c>
      <c r="F257">
        <v>166.8</v>
      </c>
      <c r="G257">
        <v>147.6</v>
      </c>
      <c r="H257">
        <v>151.69999999999999</v>
      </c>
      <c r="I257">
        <v>133.30000000000001</v>
      </c>
      <c r="J257">
        <v>141.80000000000001</v>
      </c>
      <c r="K257">
        <v>152.30000000000001</v>
      </c>
      <c r="L257">
        <v>141.80000000000001</v>
      </c>
      <c r="M257">
        <v>112.6</v>
      </c>
      <c r="N257">
        <v>154</v>
      </c>
      <c r="O257">
        <v>140.1</v>
      </c>
      <c r="P257">
        <v>160</v>
      </c>
      <c r="Q257">
        <v>148.19999999999999</v>
      </c>
      <c r="R257">
        <v>170.5</v>
      </c>
      <c r="S257">
        <v>153.4</v>
      </c>
      <c r="T257">
        <v>147.6</v>
      </c>
      <c r="U257">
        <v>152.5</v>
      </c>
      <c r="V257">
        <v>154.5</v>
      </c>
      <c r="W257">
        <v>153.4</v>
      </c>
      <c r="X257">
        <v>151.5</v>
      </c>
      <c r="Y257">
        <v>156.69999999999999</v>
      </c>
      <c r="Z257">
        <v>135.80000000000001</v>
      </c>
      <c r="AA257">
        <v>151.19999999999999</v>
      </c>
      <c r="AB257">
        <v>161.19999999999999</v>
      </c>
      <c r="AC257">
        <v>145.1</v>
      </c>
      <c r="AD257">
        <v>148.6</v>
      </c>
      <c r="AE257">
        <v>149.80000000000001</v>
      </c>
    </row>
    <row r="258" spans="1:31" x14ac:dyDescent="0.3">
      <c r="A258" t="s">
        <v>48</v>
      </c>
      <c r="B258">
        <v>2020</v>
      </c>
      <c r="C258" t="s">
        <v>51</v>
      </c>
      <c r="D258" t="str">
        <f>_xlfn.CONCAT(All_India_Index_Upto_April23__1___1[[#This Row],[Year]],"-",All_India_Index_Upto_April23__1___1[[#This Row],[Month]])</f>
        <v>2020-March</v>
      </c>
      <c r="E258">
        <v>146.5</v>
      </c>
      <c r="F258">
        <v>167.5</v>
      </c>
      <c r="G258">
        <v>148.9</v>
      </c>
      <c r="H258">
        <v>151.1</v>
      </c>
      <c r="I258">
        <v>127.5</v>
      </c>
      <c r="J258">
        <v>143.30000000000001</v>
      </c>
      <c r="K258">
        <v>167</v>
      </c>
      <c r="L258">
        <v>139.69999999999999</v>
      </c>
      <c r="M258">
        <v>114.4</v>
      </c>
      <c r="N258">
        <v>151.5</v>
      </c>
      <c r="O258">
        <v>131.9</v>
      </c>
      <c r="P258">
        <v>159.1</v>
      </c>
      <c r="Q258">
        <v>150.1</v>
      </c>
      <c r="R258">
        <v>173.3</v>
      </c>
      <c r="S258">
        <v>147.69999999999999</v>
      </c>
      <c r="T258">
        <v>133.80000000000001</v>
      </c>
      <c r="U258">
        <v>145.6</v>
      </c>
      <c r="V258">
        <v>154.5</v>
      </c>
      <c r="W258">
        <v>141.4</v>
      </c>
      <c r="X258">
        <v>140.80000000000001</v>
      </c>
      <c r="Y258">
        <v>145</v>
      </c>
      <c r="Z258">
        <v>124.6</v>
      </c>
      <c r="AA258">
        <v>137.9</v>
      </c>
      <c r="AB258">
        <v>152.5</v>
      </c>
      <c r="AC258">
        <v>145.30000000000001</v>
      </c>
      <c r="AD258">
        <v>138.69999999999999</v>
      </c>
      <c r="AE258">
        <v>147.30000000000001</v>
      </c>
    </row>
    <row r="259" spans="1:31" x14ac:dyDescent="0.3">
      <c r="A259" t="s">
        <v>49</v>
      </c>
      <c r="B259">
        <v>2020</v>
      </c>
      <c r="C259" t="s">
        <v>51</v>
      </c>
      <c r="D259" t="str">
        <f>_xlfn.CONCAT(All_India_Index_Upto_April23__1___1[[#This Row],[Year]],"-",All_India_Index_Upto_April23__1___1[[#This Row],[Month]])</f>
        <v>2020-March</v>
      </c>
      <c r="E259">
        <v>145.1</v>
      </c>
      <c r="F259">
        <v>167</v>
      </c>
      <c r="G259">
        <v>148.1</v>
      </c>
      <c r="H259">
        <v>151.5</v>
      </c>
      <c r="I259">
        <v>131.19999999999999</v>
      </c>
      <c r="J259">
        <v>142.5</v>
      </c>
      <c r="K259">
        <v>157.30000000000001</v>
      </c>
      <c r="L259">
        <v>141.1</v>
      </c>
      <c r="M259">
        <v>113.2</v>
      </c>
      <c r="N259">
        <v>153.19999999999999</v>
      </c>
      <c r="O259">
        <v>136.69999999999999</v>
      </c>
      <c r="P259">
        <v>159.6</v>
      </c>
      <c r="Q259">
        <v>148.9</v>
      </c>
      <c r="R259">
        <v>171.2</v>
      </c>
      <c r="S259">
        <v>151.19999999999999</v>
      </c>
      <c r="T259">
        <v>141.9</v>
      </c>
      <c r="U259">
        <v>149.80000000000001</v>
      </c>
      <c r="V259">
        <v>154.5</v>
      </c>
      <c r="W259">
        <v>148.9</v>
      </c>
      <c r="X259">
        <v>146.4</v>
      </c>
      <c r="Y259">
        <v>152.30000000000001</v>
      </c>
      <c r="Z259">
        <v>129.9</v>
      </c>
      <c r="AA259">
        <v>143.69999999999999</v>
      </c>
      <c r="AB259">
        <v>156.1</v>
      </c>
      <c r="AC259">
        <v>145.19999999999999</v>
      </c>
      <c r="AD259">
        <v>143.80000000000001</v>
      </c>
      <c r="AE259">
        <v>148.6</v>
      </c>
    </row>
    <row r="260" spans="1:31" x14ac:dyDescent="0.3">
      <c r="A260" t="s">
        <v>46</v>
      </c>
      <c r="B260">
        <v>2020</v>
      </c>
      <c r="C260" t="s">
        <v>52</v>
      </c>
      <c r="D260" t="str">
        <f>_xlfn.CONCAT(All_India_Index_Upto_April23__1___1[[#This Row],[Year]],"-",All_India_Index_Upto_April23__1___1[[#This Row],[Month]])</f>
        <v>2020-April</v>
      </c>
      <c r="E260">
        <v>147.19999999999999</v>
      </c>
      <c r="F260">
        <v>184.18</v>
      </c>
      <c r="G260">
        <v>146.9</v>
      </c>
      <c r="H260">
        <v>155.6</v>
      </c>
      <c r="I260">
        <v>137.1</v>
      </c>
      <c r="J260">
        <v>147.30000000000001</v>
      </c>
      <c r="K260">
        <v>162.69999999999999</v>
      </c>
      <c r="L260">
        <v>150.19999999999999</v>
      </c>
      <c r="M260">
        <v>119.8</v>
      </c>
      <c r="N260">
        <v>158.69999999999999</v>
      </c>
      <c r="O260">
        <v>139.19999999999999</v>
      </c>
      <c r="P260">
        <v>161.80000000000001</v>
      </c>
      <c r="Q260">
        <v>150.1</v>
      </c>
      <c r="R260">
        <v>180.6</v>
      </c>
      <c r="S260">
        <v>152.30000000000001</v>
      </c>
      <c r="T260">
        <v>142.80000000000001</v>
      </c>
      <c r="U260">
        <v>150.9</v>
      </c>
      <c r="V260">
        <v>155.6</v>
      </c>
      <c r="W260">
        <v>148.4</v>
      </c>
      <c r="X260">
        <v>147.4</v>
      </c>
      <c r="Y260">
        <v>154.30000000000001</v>
      </c>
      <c r="Z260">
        <v>136.19999999999999</v>
      </c>
      <c r="AA260">
        <v>146.6</v>
      </c>
      <c r="AB260">
        <v>157.80000000000001</v>
      </c>
      <c r="AC260">
        <v>151.80000000000001</v>
      </c>
      <c r="AD260">
        <v>147.5</v>
      </c>
      <c r="AE260">
        <v>153.30000000000001</v>
      </c>
    </row>
    <row r="261" spans="1:31" x14ac:dyDescent="0.3">
      <c r="A261" t="s">
        <v>48</v>
      </c>
      <c r="B261">
        <v>2020</v>
      </c>
      <c r="C261" t="s">
        <v>52</v>
      </c>
      <c r="D261" t="str">
        <f>_xlfn.CONCAT(All_India_Index_Upto_April23__1___1[[#This Row],[Year]],"-",All_India_Index_Upto_April23__1___1[[#This Row],[Month]])</f>
        <v>2020-April</v>
      </c>
      <c r="E261">
        <v>151.80000000000001</v>
      </c>
      <c r="F261">
        <v>184.18</v>
      </c>
      <c r="G261">
        <v>151.9</v>
      </c>
      <c r="H261">
        <v>155.5</v>
      </c>
      <c r="I261">
        <v>131.6</v>
      </c>
      <c r="J261">
        <v>152.9</v>
      </c>
      <c r="K261">
        <v>180</v>
      </c>
      <c r="L261">
        <v>150.80000000000001</v>
      </c>
      <c r="M261">
        <v>121.2</v>
      </c>
      <c r="N261">
        <v>154</v>
      </c>
      <c r="O261">
        <v>133.5</v>
      </c>
      <c r="P261">
        <v>161.80000000000001</v>
      </c>
      <c r="Q261">
        <v>153.5</v>
      </c>
      <c r="R261">
        <v>180.6</v>
      </c>
      <c r="S261">
        <v>152.30000000000001</v>
      </c>
      <c r="T261">
        <v>142.80000000000001</v>
      </c>
      <c r="U261">
        <v>150.9</v>
      </c>
      <c r="V261">
        <v>155.6</v>
      </c>
      <c r="W261">
        <v>137.1</v>
      </c>
      <c r="X261">
        <v>147.4</v>
      </c>
      <c r="Y261">
        <v>144.80000000000001</v>
      </c>
      <c r="Z261">
        <v>136.19999999999999</v>
      </c>
      <c r="AA261">
        <v>146.6</v>
      </c>
      <c r="AB261">
        <v>157.80000000000001</v>
      </c>
      <c r="AC261">
        <v>151.80000000000001</v>
      </c>
      <c r="AD261">
        <v>147.5</v>
      </c>
      <c r="AE261">
        <v>153.30000000000001</v>
      </c>
    </row>
    <row r="262" spans="1:31" x14ac:dyDescent="0.3">
      <c r="A262" t="s">
        <v>49</v>
      </c>
      <c r="B262">
        <v>2020</v>
      </c>
      <c r="C262" t="s">
        <v>52</v>
      </c>
      <c r="D262" t="str">
        <f>_xlfn.CONCAT(All_India_Index_Upto_April23__1___1[[#This Row],[Year]],"-",All_India_Index_Upto_April23__1___1[[#This Row],[Month]])</f>
        <v>2020-April</v>
      </c>
      <c r="E262">
        <v>148.69999999999999</v>
      </c>
      <c r="F262">
        <v>184.18</v>
      </c>
      <c r="G262">
        <v>148.80000000000001</v>
      </c>
      <c r="H262">
        <v>155.6</v>
      </c>
      <c r="I262">
        <v>135.1</v>
      </c>
      <c r="J262">
        <v>149.9</v>
      </c>
      <c r="K262">
        <v>168.6</v>
      </c>
      <c r="L262">
        <v>150.4</v>
      </c>
      <c r="M262">
        <v>120.3</v>
      </c>
      <c r="N262">
        <v>157.1</v>
      </c>
      <c r="O262">
        <v>136.80000000000001</v>
      </c>
      <c r="P262">
        <v>161.80000000000001</v>
      </c>
      <c r="Q262">
        <v>151.4</v>
      </c>
      <c r="R262">
        <v>180.6</v>
      </c>
      <c r="S262">
        <v>152.30000000000001</v>
      </c>
      <c r="T262">
        <v>142.80000000000001</v>
      </c>
      <c r="U262">
        <v>150.9</v>
      </c>
      <c r="V262">
        <v>155.6</v>
      </c>
      <c r="W262">
        <v>144.1</v>
      </c>
      <c r="X262">
        <v>147.4</v>
      </c>
      <c r="Y262">
        <v>150.69999999999999</v>
      </c>
      <c r="Z262">
        <v>136.19999999999999</v>
      </c>
      <c r="AA262">
        <v>146.6</v>
      </c>
      <c r="AB262">
        <v>157.80000000000001</v>
      </c>
      <c r="AC262">
        <v>151.80000000000001</v>
      </c>
      <c r="AD262">
        <v>147.5</v>
      </c>
      <c r="AE262">
        <v>153.30000000000001</v>
      </c>
    </row>
    <row r="263" spans="1:31" x14ac:dyDescent="0.3">
      <c r="A263" t="s">
        <v>46</v>
      </c>
      <c r="B263">
        <v>2020</v>
      </c>
      <c r="C263" t="s">
        <v>53</v>
      </c>
      <c r="D263" t="str">
        <f>_xlfn.CONCAT(All_India_Index_Upto_April23__1___1[[#This Row],[Year]],"-",All_India_Index_Upto_April23__1___1[[#This Row],[Month]])</f>
        <v>2020-May</v>
      </c>
      <c r="E263">
        <v>147.69999999999999</v>
      </c>
      <c r="F263">
        <v>184.18</v>
      </c>
      <c r="G263">
        <v>156.71</v>
      </c>
      <c r="H263">
        <v>153</v>
      </c>
      <c r="I263">
        <v>136.19999999999999</v>
      </c>
      <c r="J263">
        <v>147.4</v>
      </c>
      <c r="K263">
        <v>187.6</v>
      </c>
      <c r="L263">
        <v>149.4</v>
      </c>
      <c r="M263">
        <v>115.5</v>
      </c>
      <c r="N263">
        <v>157.80000000000001</v>
      </c>
      <c r="O263">
        <v>140.19999999999999</v>
      </c>
      <c r="P263">
        <v>161.80000000000001</v>
      </c>
      <c r="Q263">
        <v>156.5</v>
      </c>
      <c r="R263">
        <v>180.6</v>
      </c>
      <c r="S263">
        <v>152.30000000000001</v>
      </c>
      <c r="T263">
        <v>142.80000000000001</v>
      </c>
      <c r="U263">
        <v>150.9</v>
      </c>
      <c r="V263">
        <v>155.69999999999999</v>
      </c>
      <c r="W263">
        <v>143.30000000000001</v>
      </c>
      <c r="X263">
        <v>147.4</v>
      </c>
      <c r="Y263">
        <v>153.4</v>
      </c>
      <c r="Z263">
        <v>136.19999999999999</v>
      </c>
      <c r="AA263">
        <v>146.6</v>
      </c>
      <c r="AB263">
        <v>157.80000000000001</v>
      </c>
      <c r="AC263">
        <v>151.80000000000001</v>
      </c>
      <c r="AD263">
        <v>147.5</v>
      </c>
      <c r="AE263">
        <v>153.30000000000001</v>
      </c>
    </row>
    <row r="264" spans="1:31" x14ac:dyDescent="0.3">
      <c r="A264" t="s">
        <v>48</v>
      </c>
      <c r="B264">
        <v>2020</v>
      </c>
      <c r="C264" t="s">
        <v>53</v>
      </c>
      <c r="D264" t="str">
        <f>_xlfn.CONCAT(All_India_Index_Upto_April23__1___1[[#This Row],[Year]],"-",All_India_Index_Upto_April23__1___1[[#This Row],[Month]])</f>
        <v>2020-May</v>
      </c>
      <c r="E264">
        <v>147.69999999999999</v>
      </c>
      <c r="F264">
        <v>184.18</v>
      </c>
      <c r="G264">
        <v>156.71</v>
      </c>
      <c r="H264">
        <v>153</v>
      </c>
      <c r="I264">
        <v>136.19999999999999</v>
      </c>
      <c r="J264">
        <v>147.4</v>
      </c>
      <c r="K264">
        <v>187.6</v>
      </c>
      <c r="L264">
        <v>149.4</v>
      </c>
      <c r="M264">
        <v>115.5</v>
      </c>
      <c r="N264">
        <v>157.80000000000001</v>
      </c>
      <c r="O264">
        <v>140.19999999999999</v>
      </c>
      <c r="P264">
        <v>161.80000000000001</v>
      </c>
      <c r="Q264">
        <v>156.5</v>
      </c>
      <c r="R264">
        <v>180.6</v>
      </c>
      <c r="S264">
        <v>152.30000000000001</v>
      </c>
      <c r="T264">
        <v>142.80000000000001</v>
      </c>
      <c r="U264">
        <v>150.9</v>
      </c>
      <c r="V264">
        <v>155.69999999999999</v>
      </c>
      <c r="W264">
        <v>143.30000000000001</v>
      </c>
      <c r="X264">
        <v>147.4</v>
      </c>
      <c r="Y264">
        <v>153.4</v>
      </c>
      <c r="Z264">
        <v>136.19999999999999</v>
      </c>
      <c r="AA264">
        <v>146.6</v>
      </c>
      <c r="AB264">
        <v>157.80000000000001</v>
      </c>
      <c r="AC264">
        <v>151.80000000000001</v>
      </c>
      <c r="AD264">
        <v>147.5</v>
      </c>
      <c r="AE264">
        <v>153.30000000000001</v>
      </c>
    </row>
    <row r="265" spans="1:31" x14ac:dyDescent="0.3">
      <c r="A265" t="s">
        <v>49</v>
      </c>
      <c r="B265">
        <v>2020</v>
      </c>
      <c r="C265" t="s">
        <v>53</v>
      </c>
      <c r="D265" t="str">
        <f>_xlfn.CONCAT(All_India_Index_Upto_April23__1___1[[#This Row],[Year]],"-",All_India_Index_Upto_April23__1___1[[#This Row],[Month]])</f>
        <v>2020-May</v>
      </c>
      <c r="E265">
        <v>147.69999999999999</v>
      </c>
      <c r="F265">
        <v>184.18</v>
      </c>
      <c r="G265">
        <v>156.71</v>
      </c>
      <c r="H265">
        <v>153</v>
      </c>
      <c r="I265">
        <v>136.19999999999999</v>
      </c>
      <c r="J265">
        <v>147.4</v>
      </c>
      <c r="K265">
        <v>187.6</v>
      </c>
      <c r="L265">
        <v>149.4</v>
      </c>
      <c r="M265">
        <v>115.5</v>
      </c>
      <c r="N265">
        <v>157.80000000000001</v>
      </c>
      <c r="O265">
        <v>140.19999999999999</v>
      </c>
      <c r="P265">
        <v>161.80000000000001</v>
      </c>
      <c r="Q265">
        <v>156.5</v>
      </c>
      <c r="R265">
        <v>180.6</v>
      </c>
      <c r="S265">
        <v>152.30000000000001</v>
      </c>
      <c r="T265">
        <v>142.80000000000001</v>
      </c>
      <c r="U265">
        <v>150.9</v>
      </c>
      <c r="V265">
        <v>155.69999999999999</v>
      </c>
      <c r="W265">
        <v>143.30000000000001</v>
      </c>
      <c r="X265">
        <v>147.4</v>
      </c>
      <c r="Y265">
        <v>153.4</v>
      </c>
      <c r="Z265">
        <v>136.19999999999999</v>
      </c>
      <c r="AA265">
        <v>146.6</v>
      </c>
      <c r="AB265">
        <v>157.80000000000001</v>
      </c>
      <c r="AC265">
        <v>151.80000000000001</v>
      </c>
      <c r="AD265">
        <v>147.5</v>
      </c>
      <c r="AE265">
        <v>153.30000000000001</v>
      </c>
    </row>
    <row r="266" spans="1:31" x14ac:dyDescent="0.3">
      <c r="A266" t="s">
        <v>46</v>
      </c>
      <c r="B266">
        <v>2020</v>
      </c>
      <c r="C266" t="s">
        <v>54</v>
      </c>
      <c r="D266" t="str">
        <f>_xlfn.CONCAT(All_India_Index_Upto_April23__1___1[[#This Row],[Year]],"-",All_India_Index_Upto_April23__1___1[[#This Row],[Month]])</f>
        <v>2020-June</v>
      </c>
      <c r="E266">
        <v>148.19999999999999</v>
      </c>
      <c r="F266">
        <v>190.3</v>
      </c>
      <c r="G266">
        <v>149.4</v>
      </c>
      <c r="H266">
        <v>153.30000000000001</v>
      </c>
      <c r="I266">
        <v>138.19999999999999</v>
      </c>
      <c r="J266">
        <v>143.19999999999999</v>
      </c>
      <c r="K266">
        <v>148.9</v>
      </c>
      <c r="L266">
        <v>150.30000000000001</v>
      </c>
      <c r="M266">
        <v>113.2</v>
      </c>
      <c r="N266">
        <v>159.80000000000001</v>
      </c>
      <c r="O266">
        <v>142.1</v>
      </c>
      <c r="P266">
        <v>161.80000000000001</v>
      </c>
      <c r="Q266">
        <v>152.30000000000001</v>
      </c>
      <c r="R266">
        <v>182.4</v>
      </c>
      <c r="S266">
        <v>154.69999999999999</v>
      </c>
      <c r="T266">
        <v>150</v>
      </c>
      <c r="U266">
        <v>154.1</v>
      </c>
      <c r="V266">
        <v>154.69999999999999</v>
      </c>
      <c r="W266">
        <v>144.9</v>
      </c>
      <c r="X266">
        <v>151.69999999999999</v>
      </c>
      <c r="Y266">
        <v>158.19999999999999</v>
      </c>
      <c r="Z266">
        <v>141.4</v>
      </c>
      <c r="AA266">
        <v>153.19999999999999</v>
      </c>
      <c r="AB266">
        <v>161.80000000000001</v>
      </c>
      <c r="AC266">
        <v>151.19999999999999</v>
      </c>
      <c r="AD266">
        <v>151.69999999999999</v>
      </c>
      <c r="AE266">
        <v>152.69999999999999</v>
      </c>
    </row>
    <row r="267" spans="1:31" x14ac:dyDescent="0.3">
      <c r="A267" t="s">
        <v>48</v>
      </c>
      <c r="B267">
        <v>2020</v>
      </c>
      <c r="C267" t="s">
        <v>54</v>
      </c>
      <c r="D267" t="str">
        <f>_xlfn.CONCAT(All_India_Index_Upto_April23__1___1[[#This Row],[Year]],"-",All_India_Index_Upto_April23__1___1[[#This Row],[Month]])</f>
        <v>2020-June</v>
      </c>
      <c r="E267">
        <v>152.69999999999999</v>
      </c>
      <c r="F267">
        <v>197</v>
      </c>
      <c r="G267">
        <v>154.6</v>
      </c>
      <c r="H267">
        <v>153.4</v>
      </c>
      <c r="I267">
        <v>132.9</v>
      </c>
      <c r="J267">
        <v>151.80000000000001</v>
      </c>
      <c r="K267">
        <v>171.2</v>
      </c>
      <c r="L267">
        <v>152</v>
      </c>
      <c r="M267">
        <v>116.3</v>
      </c>
      <c r="N267">
        <v>158.80000000000001</v>
      </c>
      <c r="O267">
        <v>135.6</v>
      </c>
      <c r="P267">
        <v>161.69999999999999</v>
      </c>
      <c r="Q267">
        <v>157</v>
      </c>
      <c r="R267">
        <v>186.7</v>
      </c>
      <c r="S267">
        <v>149.1</v>
      </c>
      <c r="T267">
        <v>136.6</v>
      </c>
      <c r="U267">
        <v>147.19999999999999</v>
      </c>
      <c r="V267">
        <v>154.69999999999999</v>
      </c>
      <c r="W267">
        <v>137.1</v>
      </c>
      <c r="X267">
        <v>140.4</v>
      </c>
      <c r="Y267">
        <v>148.1</v>
      </c>
      <c r="Z267">
        <v>129.30000000000001</v>
      </c>
      <c r="AA267">
        <v>144.5</v>
      </c>
      <c r="AB267">
        <v>152.5</v>
      </c>
      <c r="AC267">
        <v>152.19999999999999</v>
      </c>
      <c r="AD267">
        <v>142</v>
      </c>
      <c r="AE267">
        <v>150.80000000000001</v>
      </c>
    </row>
    <row r="268" spans="1:31" x14ac:dyDescent="0.3">
      <c r="A268" t="s">
        <v>49</v>
      </c>
      <c r="B268">
        <v>2020</v>
      </c>
      <c r="C268" t="s">
        <v>54</v>
      </c>
      <c r="D268" t="str">
        <f>_xlfn.CONCAT(All_India_Index_Upto_April23__1___1[[#This Row],[Year]],"-",All_India_Index_Upto_April23__1___1[[#This Row],[Month]])</f>
        <v>2020-June</v>
      </c>
      <c r="E268">
        <v>149.6</v>
      </c>
      <c r="F268">
        <v>192.7</v>
      </c>
      <c r="G268">
        <v>151.4</v>
      </c>
      <c r="H268">
        <v>153.30000000000001</v>
      </c>
      <c r="I268">
        <v>136.30000000000001</v>
      </c>
      <c r="J268">
        <v>147.19999999999999</v>
      </c>
      <c r="K268">
        <v>156.5</v>
      </c>
      <c r="L268">
        <v>150.9</v>
      </c>
      <c r="M268">
        <v>114.2</v>
      </c>
      <c r="N268">
        <v>159.5</v>
      </c>
      <c r="O268">
        <v>139.4</v>
      </c>
      <c r="P268">
        <v>161.80000000000001</v>
      </c>
      <c r="Q268">
        <v>154</v>
      </c>
      <c r="R268">
        <v>183.5</v>
      </c>
      <c r="S268">
        <v>152.5</v>
      </c>
      <c r="T268">
        <v>144.4</v>
      </c>
      <c r="U268">
        <v>151.4</v>
      </c>
      <c r="V268">
        <v>154.69999999999999</v>
      </c>
      <c r="W268">
        <v>141.9</v>
      </c>
      <c r="X268">
        <v>146.4</v>
      </c>
      <c r="Y268">
        <v>154.4</v>
      </c>
      <c r="Z268">
        <v>135</v>
      </c>
      <c r="AA268">
        <v>148.30000000000001</v>
      </c>
      <c r="AB268">
        <v>156.4</v>
      </c>
      <c r="AC268">
        <v>151.6</v>
      </c>
      <c r="AD268">
        <v>147</v>
      </c>
      <c r="AE268">
        <v>151.80000000000001</v>
      </c>
    </row>
    <row r="269" spans="1:31" x14ac:dyDescent="0.3">
      <c r="A269" t="s">
        <v>46</v>
      </c>
      <c r="B269">
        <v>2020</v>
      </c>
      <c r="C269" t="s">
        <v>55</v>
      </c>
      <c r="D269" t="str">
        <f>_xlfn.CONCAT(All_India_Index_Upto_April23__1___1[[#This Row],[Year]],"-",All_India_Index_Upto_April23__1___1[[#This Row],[Month]])</f>
        <v>2020-July</v>
      </c>
      <c r="E269">
        <v>148.19999999999999</v>
      </c>
      <c r="F269">
        <v>190.3</v>
      </c>
      <c r="G269">
        <v>149.4</v>
      </c>
      <c r="H269">
        <v>153.30000000000001</v>
      </c>
      <c r="I269">
        <v>138.19999999999999</v>
      </c>
      <c r="J269">
        <v>143.19999999999999</v>
      </c>
      <c r="K269">
        <v>148.9</v>
      </c>
      <c r="L269">
        <v>150.30000000000001</v>
      </c>
      <c r="M269">
        <v>113.2</v>
      </c>
      <c r="N269">
        <v>159.80000000000001</v>
      </c>
      <c r="O269">
        <v>142.1</v>
      </c>
      <c r="P269">
        <v>161.80000000000001</v>
      </c>
      <c r="Q269">
        <v>152.30000000000001</v>
      </c>
      <c r="R269">
        <v>182.4</v>
      </c>
      <c r="S269">
        <v>154.69999999999999</v>
      </c>
      <c r="T269">
        <v>150</v>
      </c>
      <c r="U269">
        <v>154.1</v>
      </c>
      <c r="V269">
        <v>154.69999999999999</v>
      </c>
      <c r="W269">
        <v>144.9</v>
      </c>
      <c r="X269">
        <v>151.69999999999999</v>
      </c>
      <c r="Y269">
        <v>158.19999999999999</v>
      </c>
      <c r="Z269">
        <v>141.4</v>
      </c>
      <c r="AA269">
        <v>153.19999999999999</v>
      </c>
      <c r="AB269">
        <v>161.80000000000001</v>
      </c>
      <c r="AC269">
        <v>151.19999999999999</v>
      </c>
      <c r="AD269">
        <v>151.69999999999999</v>
      </c>
      <c r="AE269">
        <v>152.69999999999999</v>
      </c>
    </row>
    <row r="270" spans="1:31" x14ac:dyDescent="0.3">
      <c r="A270" t="s">
        <v>48</v>
      </c>
      <c r="B270">
        <v>2020</v>
      </c>
      <c r="C270" t="s">
        <v>55</v>
      </c>
      <c r="D270" t="str">
        <f>_xlfn.CONCAT(All_India_Index_Upto_April23__1___1[[#This Row],[Year]],"-",All_India_Index_Upto_April23__1___1[[#This Row],[Month]])</f>
        <v>2020-July</v>
      </c>
      <c r="E270">
        <v>152.69999999999999</v>
      </c>
      <c r="F270">
        <v>197</v>
      </c>
      <c r="G270">
        <v>154.6</v>
      </c>
      <c r="H270">
        <v>153.4</v>
      </c>
      <c r="I270">
        <v>132.9</v>
      </c>
      <c r="J270">
        <v>151.80000000000001</v>
      </c>
      <c r="K270">
        <v>171.2</v>
      </c>
      <c r="L270">
        <v>152</v>
      </c>
      <c r="M270">
        <v>116.3</v>
      </c>
      <c r="N270">
        <v>158.80000000000001</v>
      </c>
      <c r="O270">
        <v>135.6</v>
      </c>
      <c r="P270">
        <v>161.69999999999999</v>
      </c>
      <c r="Q270">
        <v>157</v>
      </c>
      <c r="R270">
        <v>186.7</v>
      </c>
      <c r="S270">
        <v>149.1</v>
      </c>
      <c r="T270">
        <v>136.6</v>
      </c>
      <c r="U270">
        <v>147.19999999999999</v>
      </c>
      <c r="V270">
        <v>154.69999999999999</v>
      </c>
      <c r="W270">
        <v>137.1</v>
      </c>
      <c r="X270">
        <v>140.4</v>
      </c>
      <c r="Y270">
        <v>148.1</v>
      </c>
      <c r="Z270">
        <v>129.30000000000001</v>
      </c>
      <c r="AA270">
        <v>144.5</v>
      </c>
      <c r="AB270">
        <v>152.5</v>
      </c>
      <c r="AC270">
        <v>152.19999999999999</v>
      </c>
      <c r="AD270">
        <v>142</v>
      </c>
      <c r="AE270">
        <v>150.80000000000001</v>
      </c>
    </row>
    <row r="271" spans="1:31" x14ac:dyDescent="0.3">
      <c r="A271" t="s">
        <v>49</v>
      </c>
      <c r="B271">
        <v>2020</v>
      </c>
      <c r="C271" t="s">
        <v>55</v>
      </c>
      <c r="D271" t="str">
        <f>_xlfn.CONCAT(All_India_Index_Upto_April23__1___1[[#This Row],[Year]],"-",All_India_Index_Upto_April23__1___1[[#This Row],[Month]])</f>
        <v>2020-July</v>
      </c>
      <c r="E271">
        <v>149.6</v>
      </c>
      <c r="F271">
        <v>192.7</v>
      </c>
      <c r="G271">
        <v>151.4</v>
      </c>
      <c r="H271">
        <v>153.30000000000001</v>
      </c>
      <c r="I271">
        <v>136.30000000000001</v>
      </c>
      <c r="J271">
        <v>147.19999999999999</v>
      </c>
      <c r="K271">
        <v>156.5</v>
      </c>
      <c r="L271">
        <v>150.9</v>
      </c>
      <c r="M271">
        <v>114.2</v>
      </c>
      <c r="N271">
        <v>159.5</v>
      </c>
      <c r="O271">
        <v>139.4</v>
      </c>
      <c r="P271">
        <v>161.80000000000001</v>
      </c>
      <c r="Q271">
        <v>154</v>
      </c>
      <c r="R271">
        <v>183.5</v>
      </c>
      <c r="S271">
        <v>152.5</v>
      </c>
      <c r="T271">
        <v>144.4</v>
      </c>
      <c r="U271">
        <v>151.4</v>
      </c>
      <c r="V271">
        <v>154.69999999999999</v>
      </c>
      <c r="W271">
        <v>141.9</v>
      </c>
      <c r="X271">
        <v>146.4</v>
      </c>
      <c r="Y271">
        <v>154.4</v>
      </c>
      <c r="Z271">
        <v>135</v>
      </c>
      <c r="AA271">
        <v>148.30000000000001</v>
      </c>
      <c r="AB271">
        <v>156.4</v>
      </c>
      <c r="AC271">
        <v>151.6</v>
      </c>
      <c r="AD271">
        <v>147</v>
      </c>
      <c r="AE271">
        <v>151.80000000000001</v>
      </c>
    </row>
    <row r="272" spans="1:31" x14ac:dyDescent="0.3">
      <c r="A272" t="s">
        <v>46</v>
      </c>
      <c r="B272">
        <v>2020</v>
      </c>
      <c r="C272" t="s">
        <v>56</v>
      </c>
      <c r="D272" t="str">
        <f>_xlfn.CONCAT(All_India_Index_Upto_April23__1___1[[#This Row],[Year]],"-",All_India_Index_Upto_April23__1___1[[#This Row],[Month]])</f>
        <v>2020-August</v>
      </c>
      <c r="E272">
        <v>147.6</v>
      </c>
      <c r="F272">
        <v>187.2</v>
      </c>
      <c r="G272">
        <v>148.4</v>
      </c>
      <c r="H272">
        <v>153.30000000000001</v>
      </c>
      <c r="I272">
        <v>139.80000000000001</v>
      </c>
      <c r="J272">
        <v>146.9</v>
      </c>
      <c r="K272">
        <v>171</v>
      </c>
      <c r="L272">
        <v>149.9</v>
      </c>
      <c r="M272">
        <v>114.2</v>
      </c>
      <c r="N272">
        <v>160</v>
      </c>
      <c r="O272">
        <v>143.5</v>
      </c>
      <c r="P272">
        <v>161.5</v>
      </c>
      <c r="Q272">
        <v>155.30000000000001</v>
      </c>
      <c r="R272">
        <v>180.9</v>
      </c>
      <c r="S272">
        <v>155.1</v>
      </c>
      <c r="T272">
        <v>149.30000000000001</v>
      </c>
      <c r="U272">
        <v>154.30000000000001</v>
      </c>
      <c r="V272">
        <v>155.5</v>
      </c>
      <c r="W272">
        <v>145.80000000000001</v>
      </c>
      <c r="X272">
        <v>151.9</v>
      </c>
      <c r="Y272">
        <v>158.80000000000001</v>
      </c>
      <c r="Z272">
        <v>143.6</v>
      </c>
      <c r="AA272">
        <v>152.19999999999999</v>
      </c>
      <c r="AB272">
        <v>162.69999999999999</v>
      </c>
      <c r="AC272">
        <v>153.6</v>
      </c>
      <c r="AD272">
        <v>153</v>
      </c>
      <c r="AE272">
        <v>154.69999999999999</v>
      </c>
    </row>
    <row r="273" spans="1:31" x14ac:dyDescent="0.3">
      <c r="A273" t="s">
        <v>48</v>
      </c>
      <c r="B273">
        <v>2020</v>
      </c>
      <c r="C273" t="s">
        <v>56</v>
      </c>
      <c r="D273" t="str">
        <f>_xlfn.CONCAT(All_India_Index_Upto_April23__1___1[[#This Row],[Year]],"-",All_India_Index_Upto_April23__1___1[[#This Row],[Month]])</f>
        <v>2020-August</v>
      </c>
      <c r="E273">
        <v>151.6</v>
      </c>
      <c r="F273">
        <v>197.8</v>
      </c>
      <c r="G273">
        <v>154.5</v>
      </c>
      <c r="H273">
        <v>153.4</v>
      </c>
      <c r="I273">
        <v>133.4</v>
      </c>
      <c r="J273">
        <v>154.5</v>
      </c>
      <c r="K273">
        <v>191.9</v>
      </c>
      <c r="L273">
        <v>151.30000000000001</v>
      </c>
      <c r="M273">
        <v>116.8</v>
      </c>
      <c r="N273">
        <v>160</v>
      </c>
      <c r="O273">
        <v>136.5</v>
      </c>
      <c r="P273">
        <v>163.30000000000001</v>
      </c>
      <c r="Q273">
        <v>159.9</v>
      </c>
      <c r="R273">
        <v>187.2</v>
      </c>
      <c r="S273">
        <v>150</v>
      </c>
      <c r="T273">
        <v>135.19999999999999</v>
      </c>
      <c r="U273">
        <v>147.80000000000001</v>
      </c>
      <c r="V273">
        <v>155.5</v>
      </c>
      <c r="W273">
        <v>138.30000000000001</v>
      </c>
      <c r="X273">
        <v>144.5</v>
      </c>
      <c r="Y273">
        <v>148.69999999999999</v>
      </c>
      <c r="Z273">
        <v>133.9</v>
      </c>
      <c r="AA273">
        <v>141.19999999999999</v>
      </c>
      <c r="AB273">
        <v>155.5</v>
      </c>
      <c r="AC273">
        <v>155.19999999999999</v>
      </c>
      <c r="AD273">
        <v>144.80000000000001</v>
      </c>
      <c r="AE273">
        <v>152.9</v>
      </c>
    </row>
    <row r="274" spans="1:31" x14ac:dyDescent="0.3">
      <c r="A274" t="s">
        <v>49</v>
      </c>
      <c r="B274">
        <v>2020</v>
      </c>
      <c r="C274" t="s">
        <v>56</v>
      </c>
      <c r="D274" t="str">
        <f>_xlfn.CONCAT(All_India_Index_Upto_April23__1___1[[#This Row],[Year]],"-",All_India_Index_Upto_April23__1___1[[#This Row],[Month]])</f>
        <v>2020-August</v>
      </c>
      <c r="E274">
        <v>148.9</v>
      </c>
      <c r="F274">
        <v>190.9</v>
      </c>
      <c r="G274">
        <v>150.80000000000001</v>
      </c>
      <c r="H274">
        <v>153.30000000000001</v>
      </c>
      <c r="I274">
        <v>137.4</v>
      </c>
      <c r="J274">
        <v>150.4</v>
      </c>
      <c r="K274">
        <v>178.1</v>
      </c>
      <c r="L274">
        <v>150.4</v>
      </c>
      <c r="M274">
        <v>115.1</v>
      </c>
      <c r="N274">
        <v>160</v>
      </c>
      <c r="O274">
        <v>140.6</v>
      </c>
      <c r="P274">
        <v>162.30000000000001</v>
      </c>
      <c r="Q274">
        <v>157</v>
      </c>
      <c r="R274">
        <v>182.6</v>
      </c>
      <c r="S274">
        <v>153.1</v>
      </c>
      <c r="T274">
        <v>143.4</v>
      </c>
      <c r="U274">
        <v>151.69999999999999</v>
      </c>
      <c r="V274">
        <v>155.5</v>
      </c>
      <c r="W274">
        <v>143</v>
      </c>
      <c r="X274">
        <v>148.4</v>
      </c>
      <c r="Y274">
        <v>155</v>
      </c>
      <c r="Z274">
        <v>138.5</v>
      </c>
      <c r="AA274">
        <v>146</v>
      </c>
      <c r="AB274">
        <v>158.5</v>
      </c>
      <c r="AC274">
        <v>154.30000000000001</v>
      </c>
      <c r="AD274">
        <v>149</v>
      </c>
      <c r="AE274">
        <v>153.9</v>
      </c>
    </row>
    <row r="275" spans="1:31" x14ac:dyDescent="0.3">
      <c r="A275" t="s">
        <v>46</v>
      </c>
      <c r="B275">
        <v>2020</v>
      </c>
      <c r="C275" t="s">
        <v>57</v>
      </c>
      <c r="D275" t="str">
        <f>_xlfn.CONCAT(All_India_Index_Upto_April23__1___1[[#This Row],[Year]],"-",All_India_Index_Upto_April23__1___1[[#This Row],[Month]])</f>
        <v>2020-September</v>
      </c>
      <c r="E275">
        <v>146.9</v>
      </c>
      <c r="F275">
        <v>183.9</v>
      </c>
      <c r="G275">
        <v>149.5</v>
      </c>
      <c r="H275">
        <v>153.4</v>
      </c>
      <c r="I275">
        <v>140.4</v>
      </c>
      <c r="J275">
        <v>147</v>
      </c>
      <c r="K275">
        <v>178.8</v>
      </c>
      <c r="L275">
        <v>149.30000000000001</v>
      </c>
      <c r="M275">
        <v>115.1</v>
      </c>
      <c r="N275">
        <v>160</v>
      </c>
      <c r="O275">
        <v>145.4</v>
      </c>
      <c r="P275">
        <v>161.6</v>
      </c>
      <c r="Q275">
        <v>156.1</v>
      </c>
      <c r="R275">
        <v>182.9</v>
      </c>
      <c r="S275">
        <v>155.4</v>
      </c>
      <c r="T275">
        <v>149.9</v>
      </c>
      <c r="U275">
        <v>154.6</v>
      </c>
      <c r="V275">
        <v>156.30000000000001</v>
      </c>
      <c r="W275">
        <v>146.4</v>
      </c>
      <c r="X275">
        <v>151.6</v>
      </c>
      <c r="Y275">
        <v>159.1</v>
      </c>
      <c r="Z275">
        <v>144.6</v>
      </c>
      <c r="AA275">
        <v>152.80000000000001</v>
      </c>
      <c r="AB275">
        <v>161.1</v>
      </c>
      <c r="AC275">
        <v>157.4</v>
      </c>
      <c r="AD275">
        <v>153.69999999999999</v>
      </c>
      <c r="AE275">
        <v>155.4</v>
      </c>
    </row>
    <row r="276" spans="1:31" x14ac:dyDescent="0.3">
      <c r="A276" t="s">
        <v>48</v>
      </c>
      <c r="B276">
        <v>2020</v>
      </c>
      <c r="C276" t="s">
        <v>57</v>
      </c>
      <c r="D276" t="str">
        <f>_xlfn.CONCAT(All_India_Index_Upto_April23__1___1[[#This Row],[Year]],"-",All_India_Index_Upto_April23__1___1[[#This Row],[Month]])</f>
        <v>2020-September</v>
      </c>
      <c r="E276">
        <v>151.5</v>
      </c>
      <c r="F276">
        <v>193.1</v>
      </c>
      <c r="G276">
        <v>157.30000000000001</v>
      </c>
      <c r="H276">
        <v>153.9</v>
      </c>
      <c r="I276">
        <v>134.4</v>
      </c>
      <c r="J276">
        <v>155.4</v>
      </c>
      <c r="K276">
        <v>202</v>
      </c>
      <c r="L276">
        <v>150.80000000000001</v>
      </c>
      <c r="M276">
        <v>118.9</v>
      </c>
      <c r="N276">
        <v>160.9</v>
      </c>
      <c r="O276">
        <v>137.69999999999999</v>
      </c>
      <c r="P276">
        <v>164.4</v>
      </c>
      <c r="Q276">
        <v>161.30000000000001</v>
      </c>
      <c r="R276">
        <v>188.7</v>
      </c>
      <c r="S276">
        <v>150.19999999999999</v>
      </c>
      <c r="T276">
        <v>136.30000000000001</v>
      </c>
      <c r="U276">
        <v>148.1</v>
      </c>
      <c r="V276">
        <v>156.30000000000001</v>
      </c>
      <c r="W276">
        <v>137.19999999999999</v>
      </c>
      <c r="X276">
        <v>145.4</v>
      </c>
      <c r="Y276">
        <v>150</v>
      </c>
      <c r="Z276">
        <v>135.1</v>
      </c>
      <c r="AA276">
        <v>141.80000000000001</v>
      </c>
      <c r="AB276">
        <v>154.9</v>
      </c>
      <c r="AC276">
        <v>159.80000000000001</v>
      </c>
      <c r="AD276">
        <v>146</v>
      </c>
      <c r="AE276">
        <v>154</v>
      </c>
    </row>
    <row r="277" spans="1:31" x14ac:dyDescent="0.3">
      <c r="A277" t="s">
        <v>49</v>
      </c>
      <c r="B277">
        <v>2020</v>
      </c>
      <c r="C277" t="s">
        <v>57</v>
      </c>
      <c r="D277" t="str">
        <f>_xlfn.CONCAT(All_India_Index_Upto_April23__1___1[[#This Row],[Year]],"-",All_India_Index_Upto_April23__1___1[[#This Row],[Month]])</f>
        <v>2020-September</v>
      </c>
      <c r="E277">
        <v>148.4</v>
      </c>
      <c r="F277">
        <v>187.1</v>
      </c>
      <c r="G277">
        <v>152.5</v>
      </c>
      <c r="H277">
        <v>153.6</v>
      </c>
      <c r="I277">
        <v>138.19999999999999</v>
      </c>
      <c r="J277">
        <v>150.9</v>
      </c>
      <c r="K277">
        <v>186.7</v>
      </c>
      <c r="L277">
        <v>149.80000000000001</v>
      </c>
      <c r="M277">
        <v>116.4</v>
      </c>
      <c r="N277">
        <v>160.30000000000001</v>
      </c>
      <c r="O277">
        <v>142.19999999999999</v>
      </c>
      <c r="P277">
        <v>162.9</v>
      </c>
      <c r="Q277">
        <v>158</v>
      </c>
      <c r="R277">
        <v>184.4</v>
      </c>
      <c r="S277">
        <v>153.4</v>
      </c>
      <c r="T277">
        <v>144.30000000000001</v>
      </c>
      <c r="U277">
        <v>152</v>
      </c>
      <c r="V277">
        <v>156.30000000000001</v>
      </c>
      <c r="W277">
        <v>142.9</v>
      </c>
      <c r="X277">
        <v>148.69999999999999</v>
      </c>
      <c r="Y277">
        <v>155.6</v>
      </c>
      <c r="Z277">
        <v>139.6</v>
      </c>
      <c r="AA277">
        <v>146.6</v>
      </c>
      <c r="AB277">
        <v>157.5</v>
      </c>
      <c r="AC277">
        <v>158.4</v>
      </c>
      <c r="AD277">
        <v>150</v>
      </c>
      <c r="AE277">
        <v>154.69999999999999</v>
      </c>
    </row>
    <row r="278" spans="1:31" x14ac:dyDescent="0.3">
      <c r="A278" t="s">
        <v>46</v>
      </c>
      <c r="B278">
        <v>2020</v>
      </c>
      <c r="C278" t="s">
        <v>58</v>
      </c>
      <c r="D278" t="str">
        <f>_xlfn.CONCAT(All_India_Index_Upto_April23__1___1[[#This Row],[Year]],"-",All_India_Index_Upto_April23__1___1[[#This Row],[Month]])</f>
        <v>2020-October</v>
      </c>
      <c r="E278">
        <v>146</v>
      </c>
      <c r="F278">
        <v>186.3</v>
      </c>
      <c r="G278">
        <v>159.19999999999999</v>
      </c>
      <c r="H278">
        <v>153.6</v>
      </c>
      <c r="I278">
        <v>142.6</v>
      </c>
      <c r="J278">
        <v>147.19999999999999</v>
      </c>
      <c r="K278">
        <v>200.6</v>
      </c>
      <c r="L278">
        <v>150.30000000000001</v>
      </c>
      <c r="M278">
        <v>115.3</v>
      </c>
      <c r="N278">
        <v>160.9</v>
      </c>
      <c r="O278">
        <v>147.4</v>
      </c>
      <c r="P278">
        <v>161.9</v>
      </c>
      <c r="Q278">
        <v>159.6</v>
      </c>
      <c r="R278">
        <v>182.7</v>
      </c>
      <c r="S278">
        <v>155.69999999999999</v>
      </c>
      <c r="T278">
        <v>150.6</v>
      </c>
      <c r="U278">
        <v>155</v>
      </c>
      <c r="V278">
        <v>156.5</v>
      </c>
      <c r="W278">
        <v>146.80000000000001</v>
      </c>
      <c r="X278">
        <v>152</v>
      </c>
      <c r="Y278">
        <v>159.5</v>
      </c>
      <c r="Z278">
        <v>146.4</v>
      </c>
      <c r="AA278">
        <v>152.4</v>
      </c>
      <c r="AB278">
        <v>162.5</v>
      </c>
      <c r="AC278">
        <v>156.19999999999999</v>
      </c>
      <c r="AD278">
        <v>154.30000000000001</v>
      </c>
      <c r="AE278">
        <v>157.5</v>
      </c>
    </row>
    <row r="279" spans="1:31" x14ac:dyDescent="0.3">
      <c r="A279" t="s">
        <v>48</v>
      </c>
      <c r="B279">
        <v>2020</v>
      </c>
      <c r="C279" t="s">
        <v>58</v>
      </c>
      <c r="D279" t="str">
        <f>_xlfn.CONCAT(All_India_Index_Upto_April23__1___1[[#This Row],[Year]],"-",All_India_Index_Upto_April23__1___1[[#This Row],[Month]])</f>
        <v>2020-October</v>
      </c>
      <c r="E279">
        <v>150.6</v>
      </c>
      <c r="F279">
        <v>193.7</v>
      </c>
      <c r="G279">
        <v>164.8</v>
      </c>
      <c r="H279">
        <v>153.69999999999999</v>
      </c>
      <c r="I279">
        <v>135.69999999999999</v>
      </c>
      <c r="J279">
        <v>155.69999999999999</v>
      </c>
      <c r="K279">
        <v>226</v>
      </c>
      <c r="L279">
        <v>152.19999999999999</v>
      </c>
      <c r="M279">
        <v>118.1</v>
      </c>
      <c r="N279">
        <v>161.30000000000001</v>
      </c>
      <c r="O279">
        <v>139.19999999999999</v>
      </c>
      <c r="P279">
        <v>164.8</v>
      </c>
      <c r="Q279">
        <v>164.4</v>
      </c>
      <c r="R279">
        <v>188.7</v>
      </c>
      <c r="S279">
        <v>150.5</v>
      </c>
      <c r="T279">
        <v>136.1</v>
      </c>
      <c r="U279">
        <v>148.30000000000001</v>
      </c>
      <c r="V279">
        <v>156.5</v>
      </c>
      <c r="W279">
        <v>137.1</v>
      </c>
      <c r="X279">
        <v>145.1</v>
      </c>
      <c r="Y279">
        <v>151</v>
      </c>
      <c r="Z279">
        <v>135.4</v>
      </c>
      <c r="AA279">
        <v>142</v>
      </c>
      <c r="AB279">
        <v>155.69999999999999</v>
      </c>
      <c r="AC279">
        <v>158.1</v>
      </c>
      <c r="AD279">
        <v>146.19999999999999</v>
      </c>
      <c r="AE279">
        <v>155.19999999999999</v>
      </c>
    </row>
    <row r="280" spans="1:31" x14ac:dyDescent="0.3">
      <c r="A280" t="s">
        <v>49</v>
      </c>
      <c r="B280">
        <v>2020</v>
      </c>
      <c r="C280" t="s">
        <v>58</v>
      </c>
      <c r="D280" t="str">
        <f>_xlfn.CONCAT(All_India_Index_Upto_April23__1___1[[#This Row],[Year]],"-",All_India_Index_Upto_April23__1___1[[#This Row],[Month]])</f>
        <v>2020-October</v>
      </c>
      <c r="E280">
        <v>147.5</v>
      </c>
      <c r="F280">
        <v>188.9</v>
      </c>
      <c r="G280">
        <v>161.4</v>
      </c>
      <c r="H280">
        <v>153.6</v>
      </c>
      <c r="I280">
        <v>140.1</v>
      </c>
      <c r="J280">
        <v>151.19999999999999</v>
      </c>
      <c r="K280">
        <v>209.2</v>
      </c>
      <c r="L280">
        <v>150.9</v>
      </c>
      <c r="M280">
        <v>116.2</v>
      </c>
      <c r="N280">
        <v>161</v>
      </c>
      <c r="O280">
        <v>144</v>
      </c>
      <c r="P280">
        <v>163.19999999999999</v>
      </c>
      <c r="Q280">
        <v>161.4</v>
      </c>
      <c r="R280">
        <v>184.3</v>
      </c>
      <c r="S280">
        <v>153.69999999999999</v>
      </c>
      <c r="T280">
        <v>144.6</v>
      </c>
      <c r="U280">
        <v>152.30000000000001</v>
      </c>
      <c r="V280">
        <v>156.5</v>
      </c>
      <c r="W280">
        <v>143.1</v>
      </c>
      <c r="X280">
        <v>148.69999999999999</v>
      </c>
      <c r="Y280">
        <v>156.30000000000001</v>
      </c>
      <c r="Z280">
        <v>140.6</v>
      </c>
      <c r="AA280">
        <v>146.5</v>
      </c>
      <c r="AB280">
        <v>158.5</v>
      </c>
      <c r="AC280">
        <v>157</v>
      </c>
      <c r="AD280">
        <v>150.4</v>
      </c>
      <c r="AE280">
        <v>156.4</v>
      </c>
    </row>
    <row r="281" spans="1:31" x14ac:dyDescent="0.3">
      <c r="A281" t="s">
        <v>46</v>
      </c>
      <c r="B281">
        <v>2020</v>
      </c>
      <c r="C281" t="s">
        <v>60</v>
      </c>
      <c r="D281" t="str">
        <f>_xlfn.CONCAT(All_India_Index_Upto_April23__1___1[[#This Row],[Year]],"-",All_India_Index_Upto_April23__1___1[[#This Row],[Month]])</f>
        <v>2020-November</v>
      </c>
      <c r="E281">
        <v>145.4</v>
      </c>
      <c r="F281">
        <v>188.6</v>
      </c>
      <c r="G281">
        <v>171.6</v>
      </c>
      <c r="H281">
        <v>153.80000000000001</v>
      </c>
      <c r="I281">
        <v>145.4</v>
      </c>
      <c r="J281">
        <v>146.5</v>
      </c>
      <c r="K281">
        <v>222.2</v>
      </c>
      <c r="L281">
        <v>155.9</v>
      </c>
      <c r="M281">
        <v>114.9</v>
      </c>
      <c r="N281">
        <v>162</v>
      </c>
      <c r="O281">
        <v>150</v>
      </c>
      <c r="P281">
        <v>162.69999999999999</v>
      </c>
      <c r="Q281">
        <v>163.4</v>
      </c>
      <c r="R281">
        <v>183.4</v>
      </c>
      <c r="S281">
        <v>156.30000000000001</v>
      </c>
      <c r="T281">
        <v>151</v>
      </c>
      <c r="U281">
        <v>155.5</v>
      </c>
      <c r="V281">
        <v>158</v>
      </c>
      <c r="W281">
        <v>147.5</v>
      </c>
      <c r="X281">
        <v>152.80000000000001</v>
      </c>
      <c r="Y281">
        <v>160.4</v>
      </c>
      <c r="Z281">
        <v>146.1</v>
      </c>
      <c r="AA281">
        <v>153.6</v>
      </c>
      <c r="AB281">
        <v>161.6</v>
      </c>
      <c r="AC281">
        <v>156.19999999999999</v>
      </c>
      <c r="AD281">
        <v>154.5</v>
      </c>
      <c r="AE281">
        <v>159.80000000000001</v>
      </c>
    </row>
    <row r="282" spans="1:31" x14ac:dyDescent="0.3">
      <c r="A282" t="s">
        <v>48</v>
      </c>
      <c r="B282">
        <v>2020</v>
      </c>
      <c r="C282" t="s">
        <v>60</v>
      </c>
      <c r="D282" t="str">
        <f>_xlfn.CONCAT(All_India_Index_Upto_April23__1___1[[#This Row],[Year]],"-",All_India_Index_Upto_April23__1___1[[#This Row],[Month]])</f>
        <v>2020-November</v>
      </c>
      <c r="E282">
        <v>149.69999999999999</v>
      </c>
      <c r="F282">
        <v>195.5</v>
      </c>
      <c r="G282">
        <v>176.9</v>
      </c>
      <c r="H282">
        <v>153.9</v>
      </c>
      <c r="I282">
        <v>138</v>
      </c>
      <c r="J282">
        <v>150.5</v>
      </c>
      <c r="K282">
        <v>245.3</v>
      </c>
      <c r="L282">
        <v>158.69999999999999</v>
      </c>
      <c r="M282">
        <v>117.2</v>
      </c>
      <c r="N282">
        <v>161.4</v>
      </c>
      <c r="O282">
        <v>141.5</v>
      </c>
      <c r="P282">
        <v>165.1</v>
      </c>
      <c r="Q282">
        <v>167</v>
      </c>
      <c r="R282">
        <v>188.8</v>
      </c>
      <c r="S282">
        <v>151.1</v>
      </c>
      <c r="T282">
        <v>136.4</v>
      </c>
      <c r="U282">
        <v>148.80000000000001</v>
      </c>
      <c r="V282">
        <v>158</v>
      </c>
      <c r="W282">
        <v>137.30000000000001</v>
      </c>
      <c r="X282">
        <v>145.1</v>
      </c>
      <c r="Y282">
        <v>152</v>
      </c>
      <c r="Z282">
        <v>135.19999999999999</v>
      </c>
      <c r="AA282">
        <v>144.4</v>
      </c>
      <c r="AB282">
        <v>156.4</v>
      </c>
      <c r="AC282">
        <v>157.9</v>
      </c>
      <c r="AD282">
        <v>146.6</v>
      </c>
      <c r="AE282">
        <v>156.69999999999999</v>
      </c>
    </row>
    <row r="283" spans="1:31" x14ac:dyDescent="0.3">
      <c r="A283" t="s">
        <v>49</v>
      </c>
      <c r="B283">
        <v>2020</v>
      </c>
      <c r="C283" t="s">
        <v>60</v>
      </c>
      <c r="D283" t="str">
        <f>_xlfn.CONCAT(All_India_Index_Upto_April23__1___1[[#This Row],[Year]],"-",All_India_Index_Upto_April23__1___1[[#This Row],[Month]])</f>
        <v>2020-November</v>
      </c>
      <c r="E283">
        <v>146.80000000000001</v>
      </c>
      <c r="F283">
        <v>191</v>
      </c>
      <c r="G283">
        <v>173.6</v>
      </c>
      <c r="H283">
        <v>153.80000000000001</v>
      </c>
      <c r="I283">
        <v>142.69999999999999</v>
      </c>
      <c r="J283">
        <v>148.4</v>
      </c>
      <c r="K283">
        <v>230</v>
      </c>
      <c r="L283">
        <v>156.80000000000001</v>
      </c>
      <c r="M283">
        <v>115.7</v>
      </c>
      <c r="N283">
        <v>161.80000000000001</v>
      </c>
      <c r="O283">
        <v>146.5</v>
      </c>
      <c r="P283">
        <v>163.80000000000001</v>
      </c>
      <c r="Q283">
        <v>164.7</v>
      </c>
      <c r="R283">
        <v>184.8</v>
      </c>
      <c r="S283">
        <v>154.30000000000001</v>
      </c>
      <c r="T283">
        <v>144.9</v>
      </c>
      <c r="U283">
        <v>152.80000000000001</v>
      </c>
      <c r="V283">
        <v>158</v>
      </c>
      <c r="W283">
        <v>143.6</v>
      </c>
      <c r="X283">
        <v>149.19999999999999</v>
      </c>
      <c r="Y283">
        <v>157.19999999999999</v>
      </c>
      <c r="Z283">
        <v>140.4</v>
      </c>
      <c r="AA283">
        <v>148.4</v>
      </c>
      <c r="AB283">
        <v>158.6</v>
      </c>
      <c r="AC283">
        <v>156.9</v>
      </c>
      <c r="AD283">
        <v>150.69999999999999</v>
      </c>
      <c r="AE283">
        <v>158.4</v>
      </c>
    </row>
    <row r="284" spans="1:31" x14ac:dyDescent="0.3">
      <c r="A284" t="s">
        <v>46</v>
      </c>
      <c r="B284">
        <v>2020</v>
      </c>
      <c r="C284" t="s">
        <v>61</v>
      </c>
      <c r="D284" t="str">
        <f>_xlfn.CONCAT(All_India_Index_Upto_April23__1___1[[#This Row],[Year]],"-",All_India_Index_Upto_April23__1___1[[#This Row],[Month]])</f>
        <v>2020-December</v>
      </c>
      <c r="E284">
        <v>144.6</v>
      </c>
      <c r="F284">
        <v>188.5</v>
      </c>
      <c r="G284">
        <v>173.4</v>
      </c>
      <c r="H284">
        <v>154</v>
      </c>
      <c r="I284">
        <v>150</v>
      </c>
      <c r="J284">
        <v>145.9</v>
      </c>
      <c r="K284">
        <v>225.2</v>
      </c>
      <c r="L284">
        <v>159.5</v>
      </c>
      <c r="M284">
        <v>114.4</v>
      </c>
      <c r="N284">
        <v>163.5</v>
      </c>
      <c r="O284">
        <v>153.4</v>
      </c>
      <c r="P284">
        <v>163.6</v>
      </c>
      <c r="Q284">
        <v>164.5</v>
      </c>
      <c r="R284">
        <v>183.6</v>
      </c>
      <c r="S284">
        <v>157</v>
      </c>
      <c r="T284">
        <v>151.6</v>
      </c>
      <c r="U284">
        <v>156.30000000000001</v>
      </c>
      <c r="V284">
        <v>158.4</v>
      </c>
      <c r="W284">
        <v>148.69999999999999</v>
      </c>
      <c r="X284">
        <v>153.4</v>
      </c>
      <c r="Y284">
        <v>161.6</v>
      </c>
      <c r="Z284">
        <v>146.4</v>
      </c>
      <c r="AA284">
        <v>153.9</v>
      </c>
      <c r="AB284">
        <v>162.9</v>
      </c>
      <c r="AC284">
        <v>156.6</v>
      </c>
      <c r="AD284">
        <v>155.19999999999999</v>
      </c>
      <c r="AE284">
        <v>160.69999999999999</v>
      </c>
    </row>
    <row r="285" spans="1:31" x14ac:dyDescent="0.3">
      <c r="A285" t="s">
        <v>48</v>
      </c>
      <c r="B285">
        <v>2020</v>
      </c>
      <c r="C285" t="s">
        <v>61</v>
      </c>
      <c r="D285" t="str">
        <f>_xlfn.CONCAT(All_India_Index_Upto_April23__1___1[[#This Row],[Year]],"-",All_India_Index_Upto_April23__1___1[[#This Row],[Month]])</f>
        <v>2020-December</v>
      </c>
      <c r="E285">
        <v>149</v>
      </c>
      <c r="F285">
        <v>195.7</v>
      </c>
      <c r="G285">
        <v>178.3</v>
      </c>
      <c r="H285">
        <v>154.19999999999999</v>
      </c>
      <c r="I285">
        <v>140.69999999999999</v>
      </c>
      <c r="J285">
        <v>149.69999999999999</v>
      </c>
      <c r="K285">
        <v>240.9</v>
      </c>
      <c r="L285">
        <v>161.5</v>
      </c>
      <c r="M285">
        <v>117.1</v>
      </c>
      <c r="N285">
        <v>161.9</v>
      </c>
      <c r="O285">
        <v>143.30000000000001</v>
      </c>
      <c r="P285">
        <v>166.1</v>
      </c>
      <c r="Q285">
        <v>167</v>
      </c>
      <c r="R285">
        <v>190.2</v>
      </c>
      <c r="S285">
        <v>151.9</v>
      </c>
      <c r="T285">
        <v>136.69999999999999</v>
      </c>
      <c r="U285">
        <v>149.6</v>
      </c>
      <c r="V285">
        <v>158.4</v>
      </c>
      <c r="W285">
        <v>137.9</v>
      </c>
      <c r="X285">
        <v>145.5</v>
      </c>
      <c r="Y285">
        <v>152.9</v>
      </c>
      <c r="Z285">
        <v>135.5</v>
      </c>
      <c r="AA285">
        <v>144.30000000000001</v>
      </c>
      <c r="AB285">
        <v>156.9</v>
      </c>
      <c r="AC285">
        <v>157.9</v>
      </c>
      <c r="AD285">
        <v>146.9</v>
      </c>
      <c r="AE285">
        <v>156.9</v>
      </c>
    </row>
    <row r="286" spans="1:31" x14ac:dyDescent="0.3">
      <c r="A286" t="s">
        <v>49</v>
      </c>
      <c r="B286">
        <v>2020</v>
      </c>
      <c r="C286" t="s">
        <v>61</v>
      </c>
      <c r="D286" t="str">
        <f>_xlfn.CONCAT(All_India_Index_Upto_April23__1___1[[#This Row],[Year]],"-",All_India_Index_Upto_April23__1___1[[#This Row],[Month]])</f>
        <v>2020-December</v>
      </c>
      <c r="E286">
        <v>146</v>
      </c>
      <c r="F286">
        <v>191</v>
      </c>
      <c r="G286">
        <v>175.3</v>
      </c>
      <c r="H286">
        <v>154.1</v>
      </c>
      <c r="I286">
        <v>146.6</v>
      </c>
      <c r="J286">
        <v>147.69999999999999</v>
      </c>
      <c r="K286">
        <v>230.5</v>
      </c>
      <c r="L286">
        <v>160.19999999999999</v>
      </c>
      <c r="M286">
        <v>115.3</v>
      </c>
      <c r="N286">
        <v>163</v>
      </c>
      <c r="O286">
        <v>149.19999999999999</v>
      </c>
      <c r="P286">
        <v>164.8</v>
      </c>
      <c r="Q286">
        <v>165.4</v>
      </c>
      <c r="R286">
        <v>185.4</v>
      </c>
      <c r="S286">
        <v>155</v>
      </c>
      <c r="T286">
        <v>145.4</v>
      </c>
      <c r="U286">
        <v>153.6</v>
      </c>
      <c r="V286">
        <v>158.4</v>
      </c>
      <c r="W286">
        <v>144.6</v>
      </c>
      <c r="X286">
        <v>149.69999999999999</v>
      </c>
      <c r="Y286">
        <v>158.30000000000001</v>
      </c>
      <c r="Z286">
        <v>140.69999999999999</v>
      </c>
      <c r="AA286">
        <v>148.5</v>
      </c>
      <c r="AB286">
        <v>159.4</v>
      </c>
      <c r="AC286">
        <v>157.1</v>
      </c>
      <c r="AD286">
        <v>151.19999999999999</v>
      </c>
      <c r="AE286">
        <v>158.9</v>
      </c>
    </row>
    <row r="287" spans="1:31" x14ac:dyDescent="0.3">
      <c r="A287" t="s">
        <v>46</v>
      </c>
      <c r="B287">
        <v>2021</v>
      </c>
      <c r="C287" t="s">
        <v>47</v>
      </c>
      <c r="D287" t="str">
        <f>_xlfn.CONCAT(All_India_Index_Upto_April23__1___1[[#This Row],[Year]],"-",All_India_Index_Upto_April23__1___1[[#This Row],[Month]])</f>
        <v>2021-January</v>
      </c>
      <c r="E287">
        <v>143.4</v>
      </c>
      <c r="F287">
        <v>187.5</v>
      </c>
      <c r="G287">
        <v>173.4</v>
      </c>
      <c r="H287">
        <v>154</v>
      </c>
      <c r="I287">
        <v>154.80000000000001</v>
      </c>
      <c r="J287">
        <v>147</v>
      </c>
      <c r="K287">
        <v>187.8</v>
      </c>
      <c r="L287">
        <v>159.5</v>
      </c>
      <c r="M287">
        <v>113.8</v>
      </c>
      <c r="N287">
        <v>164.5</v>
      </c>
      <c r="O287">
        <v>156.1</v>
      </c>
      <c r="P287">
        <v>164.3</v>
      </c>
      <c r="Q287">
        <v>159.6</v>
      </c>
      <c r="R287">
        <v>184.6</v>
      </c>
      <c r="S287">
        <v>157.5</v>
      </c>
      <c r="T287">
        <v>152.4</v>
      </c>
      <c r="U287">
        <v>156.80000000000001</v>
      </c>
      <c r="V287">
        <v>157.69999999999999</v>
      </c>
      <c r="W287">
        <v>150.9</v>
      </c>
      <c r="X287">
        <v>153.9</v>
      </c>
      <c r="Y287">
        <v>162.5</v>
      </c>
      <c r="Z287">
        <v>147.5</v>
      </c>
      <c r="AA287">
        <v>155.1</v>
      </c>
      <c r="AB287">
        <v>163.5</v>
      </c>
      <c r="AC287">
        <v>156.19999999999999</v>
      </c>
      <c r="AD287">
        <v>155.9</v>
      </c>
      <c r="AE287">
        <v>158.5</v>
      </c>
    </row>
    <row r="288" spans="1:31" x14ac:dyDescent="0.3">
      <c r="A288" t="s">
        <v>48</v>
      </c>
      <c r="B288">
        <v>2021</v>
      </c>
      <c r="C288" t="s">
        <v>47</v>
      </c>
      <c r="D288" t="str">
        <f>_xlfn.CONCAT(All_India_Index_Upto_April23__1___1[[#This Row],[Year]],"-",All_India_Index_Upto_April23__1___1[[#This Row],[Month]])</f>
        <v>2021-January</v>
      </c>
      <c r="E288">
        <v>148</v>
      </c>
      <c r="F288">
        <v>194.8</v>
      </c>
      <c r="G288">
        <v>178.4</v>
      </c>
      <c r="H288">
        <v>154.4</v>
      </c>
      <c r="I288">
        <v>144.1</v>
      </c>
      <c r="J288">
        <v>152.6</v>
      </c>
      <c r="K288">
        <v>206.8</v>
      </c>
      <c r="L288">
        <v>162.1</v>
      </c>
      <c r="M288">
        <v>116.3</v>
      </c>
      <c r="N288">
        <v>163</v>
      </c>
      <c r="O288">
        <v>145.9</v>
      </c>
      <c r="P288">
        <v>167.2</v>
      </c>
      <c r="Q288">
        <v>163.4</v>
      </c>
      <c r="R288">
        <v>191.8</v>
      </c>
      <c r="S288">
        <v>152.5</v>
      </c>
      <c r="T288">
        <v>137.30000000000001</v>
      </c>
      <c r="U288">
        <v>150.19999999999999</v>
      </c>
      <c r="V288">
        <v>157.69999999999999</v>
      </c>
      <c r="W288">
        <v>142.9</v>
      </c>
      <c r="X288">
        <v>145.69999999999999</v>
      </c>
      <c r="Y288">
        <v>154.1</v>
      </c>
      <c r="Z288">
        <v>136.9</v>
      </c>
      <c r="AA288">
        <v>145.4</v>
      </c>
      <c r="AB288">
        <v>156.1</v>
      </c>
      <c r="AC288">
        <v>157.69999999999999</v>
      </c>
      <c r="AD288">
        <v>147.6</v>
      </c>
      <c r="AE288">
        <v>156</v>
      </c>
    </row>
    <row r="289" spans="1:31" x14ac:dyDescent="0.3">
      <c r="A289" t="s">
        <v>49</v>
      </c>
      <c r="B289">
        <v>2021</v>
      </c>
      <c r="C289" t="s">
        <v>47</v>
      </c>
      <c r="D289" t="str">
        <f>_xlfn.CONCAT(All_India_Index_Upto_April23__1___1[[#This Row],[Year]],"-",All_India_Index_Upto_April23__1___1[[#This Row],[Month]])</f>
        <v>2021-January</v>
      </c>
      <c r="E289">
        <v>144.9</v>
      </c>
      <c r="F289">
        <v>190.1</v>
      </c>
      <c r="G289">
        <v>175.3</v>
      </c>
      <c r="H289">
        <v>154.1</v>
      </c>
      <c r="I289">
        <v>150.9</v>
      </c>
      <c r="J289">
        <v>149.6</v>
      </c>
      <c r="K289">
        <v>194.2</v>
      </c>
      <c r="L289">
        <v>160.4</v>
      </c>
      <c r="M289">
        <v>114.6</v>
      </c>
      <c r="N289">
        <v>164</v>
      </c>
      <c r="O289">
        <v>151.80000000000001</v>
      </c>
      <c r="P289">
        <v>165.6</v>
      </c>
      <c r="Q289">
        <v>161</v>
      </c>
      <c r="R289">
        <v>186.5</v>
      </c>
      <c r="S289">
        <v>155.5</v>
      </c>
      <c r="T289">
        <v>146.1</v>
      </c>
      <c r="U289">
        <v>154.19999999999999</v>
      </c>
      <c r="V289">
        <v>157.69999999999999</v>
      </c>
      <c r="W289">
        <v>147.9</v>
      </c>
      <c r="X289">
        <v>150</v>
      </c>
      <c r="Y289">
        <v>159.30000000000001</v>
      </c>
      <c r="Z289">
        <v>141.9</v>
      </c>
      <c r="AA289">
        <v>149.6</v>
      </c>
      <c r="AB289">
        <v>159.19999999999999</v>
      </c>
      <c r="AC289">
        <v>156.80000000000001</v>
      </c>
      <c r="AD289">
        <v>151.9</v>
      </c>
      <c r="AE289">
        <v>157.30000000000001</v>
      </c>
    </row>
    <row r="290" spans="1:31" x14ac:dyDescent="0.3">
      <c r="A290" t="s">
        <v>46</v>
      </c>
      <c r="B290">
        <v>2021</v>
      </c>
      <c r="C290" t="s">
        <v>50</v>
      </c>
      <c r="D290" t="str">
        <f>_xlfn.CONCAT(All_India_Index_Upto_April23__1___1[[#This Row],[Year]],"-",All_India_Index_Upto_April23__1___1[[#This Row],[Month]])</f>
        <v>2021-February</v>
      </c>
      <c r="E290">
        <v>142.80000000000001</v>
      </c>
      <c r="F290">
        <v>184</v>
      </c>
      <c r="G290">
        <v>168</v>
      </c>
      <c r="H290">
        <v>154.4</v>
      </c>
      <c r="I290">
        <v>163</v>
      </c>
      <c r="J290">
        <v>147.80000000000001</v>
      </c>
      <c r="K290">
        <v>149.69999999999999</v>
      </c>
      <c r="L290">
        <v>158.30000000000001</v>
      </c>
      <c r="M290">
        <v>111.8</v>
      </c>
      <c r="N290">
        <v>165</v>
      </c>
      <c r="O290">
        <v>160</v>
      </c>
      <c r="P290">
        <v>165.8</v>
      </c>
      <c r="Q290">
        <v>154.69999999999999</v>
      </c>
      <c r="R290">
        <v>186.5</v>
      </c>
      <c r="S290">
        <v>159.1</v>
      </c>
      <c r="T290">
        <v>153.9</v>
      </c>
      <c r="U290">
        <v>158.4</v>
      </c>
      <c r="V290">
        <v>159.80000000000001</v>
      </c>
      <c r="W290">
        <v>154.4</v>
      </c>
      <c r="X290">
        <v>154.80000000000001</v>
      </c>
      <c r="Y290">
        <v>164.3</v>
      </c>
      <c r="Z290">
        <v>150.19999999999999</v>
      </c>
      <c r="AA290">
        <v>157</v>
      </c>
      <c r="AB290">
        <v>163.6</v>
      </c>
      <c r="AC290">
        <v>155.19999999999999</v>
      </c>
      <c r="AD290">
        <v>157.19999999999999</v>
      </c>
      <c r="AE290">
        <v>156.69999999999999</v>
      </c>
    </row>
    <row r="291" spans="1:31" x14ac:dyDescent="0.3">
      <c r="A291" t="s">
        <v>48</v>
      </c>
      <c r="B291">
        <v>2021</v>
      </c>
      <c r="C291" t="s">
        <v>50</v>
      </c>
      <c r="D291" t="str">
        <f>_xlfn.CONCAT(All_India_Index_Upto_April23__1___1[[#This Row],[Year]],"-",All_India_Index_Upto_April23__1___1[[#This Row],[Month]])</f>
        <v>2021-February</v>
      </c>
      <c r="E291">
        <v>147.6</v>
      </c>
      <c r="F291">
        <v>191.2</v>
      </c>
      <c r="G291">
        <v>169.9</v>
      </c>
      <c r="H291">
        <v>155.1</v>
      </c>
      <c r="I291">
        <v>151.4</v>
      </c>
      <c r="J291">
        <v>154</v>
      </c>
      <c r="K291">
        <v>180.2</v>
      </c>
      <c r="L291">
        <v>159.80000000000001</v>
      </c>
      <c r="M291">
        <v>114.9</v>
      </c>
      <c r="N291">
        <v>162.5</v>
      </c>
      <c r="O291">
        <v>149.19999999999999</v>
      </c>
      <c r="P291">
        <v>169.4</v>
      </c>
      <c r="Q291">
        <v>160.80000000000001</v>
      </c>
      <c r="R291">
        <v>193.3</v>
      </c>
      <c r="S291">
        <v>154.19999999999999</v>
      </c>
      <c r="T291">
        <v>138.19999999999999</v>
      </c>
      <c r="U291">
        <v>151.80000000000001</v>
      </c>
      <c r="V291">
        <v>159.80000000000001</v>
      </c>
      <c r="W291">
        <v>149.1</v>
      </c>
      <c r="X291">
        <v>146.5</v>
      </c>
      <c r="Y291">
        <v>156.30000000000001</v>
      </c>
      <c r="Z291">
        <v>140.5</v>
      </c>
      <c r="AA291">
        <v>147.30000000000001</v>
      </c>
      <c r="AB291">
        <v>156.6</v>
      </c>
      <c r="AC291">
        <v>156.69999999999999</v>
      </c>
      <c r="AD291">
        <v>149.30000000000001</v>
      </c>
      <c r="AE291">
        <v>156.5</v>
      </c>
    </row>
    <row r="292" spans="1:31" x14ac:dyDescent="0.3">
      <c r="A292" t="s">
        <v>49</v>
      </c>
      <c r="B292">
        <v>2021</v>
      </c>
      <c r="C292" t="s">
        <v>50</v>
      </c>
      <c r="D292" t="str">
        <f>_xlfn.CONCAT(All_India_Index_Upto_April23__1___1[[#This Row],[Year]],"-",All_India_Index_Upto_April23__1___1[[#This Row],[Month]])</f>
        <v>2021-February</v>
      </c>
      <c r="E292">
        <v>144.30000000000001</v>
      </c>
      <c r="F292">
        <v>186.5</v>
      </c>
      <c r="G292">
        <v>168.7</v>
      </c>
      <c r="H292">
        <v>154.69999999999999</v>
      </c>
      <c r="I292">
        <v>158.69999999999999</v>
      </c>
      <c r="J292">
        <v>150.69999999999999</v>
      </c>
      <c r="K292">
        <v>160</v>
      </c>
      <c r="L292">
        <v>158.80000000000001</v>
      </c>
      <c r="M292">
        <v>112.8</v>
      </c>
      <c r="N292">
        <v>164.2</v>
      </c>
      <c r="O292">
        <v>155.5</v>
      </c>
      <c r="P292">
        <v>167.5</v>
      </c>
      <c r="Q292">
        <v>156.9</v>
      </c>
      <c r="R292">
        <v>188.3</v>
      </c>
      <c r="S292">
        <v>157.19999999999999</v>
      </c>
      <c r="T292">
        <v>147.4</v>
      </c>
      <c r="U292">
        <v>155.80000000000001</v>
      </c>
      <c r="V292">
        <v>159.80000000000001</v>
      </c>
      <c r="W292">
        <v>152.4</v>
      </c>
      <c r="X292">
        <v>150.9</v>
      </c>
      <c r="Y292">
        <v>161.30000000000001</v>
      </c>
      <c r="Z292">
        <v>145.1</v>
      </c>
      <c r="AA292">
        <v>151.5</v>
      </c>
      <c r="AB292">
        <v>159.5</v>
      </c>
      <c r="AC292">
        <v>155.80000000000001</v>
      </c>
      <c r="AD292">
        <v>153.4</v>
      </c>
      <c r="AE292">
        <v>156.6</v>
      </c>
    </row>
    <row r="293" spans="1:31" x14ac:dyDescent="0.3">
      <c r="A293" t="s">
        <v>46</v>
      </c>
      <c r="B293">
        <v>2021</v>
      </c>
      <c r="C293" t="s">
        <v>51</v>
      </c>
      <c r="D293" t="str">
        <f>_xlfn.CONCAT(All_India_Index_Upto_April23__1___1[[#This Row],[Year]],"-",All_India_Index_Upto_April23__1___1[[#This Row],[Month]])</f>
        <v>2021-March</v>
      </c>
      <c r="E293">
        <v>142.5</v>
      </c>
      <c r="F293">
        <v>189.4</v>
      </c>
      <c r="G293">
        <v>163.19999999999999</v>
      </c>
      <c r="H293">
        <v>154.5</v>
      </c>
      <c r="I293">
        <v>168.2</v>
      </c>
      <c r="J293">
        <v>150.5</v>
      </c>
      <c r="K293">
        <v>141</v>
      </c>
      <c r="L293">
        <v>159.19999999999999</v>
      </c>
      <c r="M293">
        <v>111.7</v>
      </c>
      <c r="N293">
        <v>164</v>
      </c>
      <c r="O293">
        <v>160.6</v>
      </c>
      <c r="P293">
        <v>166.4</v>
      </c>
      <c r="Q293">
        <v>154.5</v>
      </c>
      <c r="R293">
        <v>186.1</v>
      </c>
      <c r="S293">
        <v>159.6</v>
      </c>
      <c r="T293">
        <v>154.4</v>
      </c>
      <c r="U293">
        <v>158.9</v>
      </c>
      <c r="V293">
        <v>161.5</v>
      </c>
      <c r="W293">
        <v>156</v>
      </c>
      <c r="X293">
        <v>154.80000000000001</v>
      </c>
      <c r="Y293">
        <v>164.6</v>
      </c>
      <c r="Z293">
        <v>151.30000000000001</v>
      </c>
      <c r="AA293">
        <v>157.80000000000001</v>
      </c>
      <c r="AB293">
        <v>163.80000000000001</v>
      </c>
      <c r="AC293">
        <v>153.1</v>
      </c>
      <c r="AD293">
        <v>157.30000000000001</v>
      </c>
      <c r="AE293">
        <v>156.69999999999999</v>
      </c>
    </row>
    <row r="294" spans="1:31" x14ac:dyDescent="0.3">
      <c r="A294" t="s">
        <v>48</v>
      </c>
      <c r="B294">
        <v>2021</v>
      </c>
      <c r="C294" t="s">
        <v>51</v>
      </c>
      <c r="D294" t="str">
        <f>_xlfn.CONCAT(All_India_Index_Upto_April23__1___1[[#This Row],[Year]],"-",All_India_Index_Upto_April23__1___1[[#This Row],[Month]])</f>
        <v>2021-March</v>
      </c>
      <c r="E294">
        <v>147.5</v>
      </c>
      <c r="F294">
        <v>197.5</v>
      </c>
      <c r="G294">
        <v>164.7</v>
      </c>
      <c r="H294">
        <v>155.6</v>
      </c>
      <c r="I294">
        <v>156.4</v>
      </c>
      <c r="J294">
        <v>157.30000000000001</v>
      </c>
      <c r="K294">
        <v>166.1</v>
      </c>
      <c r="L294">
        <v>161.1</v>
      </c>
      <c r="M294">
        <v>114.3</v>
      </c>
      <c r="N294">
        <v>162.6</v>
      </c>
      <c r="O294">
        <v>150.69999999999999</v>
      </c>
      <c r="P294">
        <v>170.3</v>
      </c>
      <c r="Q294">
        <v>160.4</v>
      </c>
      <c r="R294">
        <v>193.5</v>
      </c>
      <c r="S294">
        <v>155.1</v>
      </c>
      <c r="T294">
        <v>138.69999999999999</v>
      </c>
      <c r="U294">
        <v>152.6</v>
      </c>
      <c r="V294">
        <v>159.9</v>
      </c>
      <c r="W294">
        <v>154.80000000000001</v>
      </c>
      <c r="X294">
        <v>147.19999999999999</v>
      </c>
      <c r="Y294">
        <v>156.9</v>
      </c>
      <c r="Z294">
        <v>141.69999999999999</v>
      </c>
      <c r="AA294">
        <v>148.6</v>
      </c>
      <c r="AB294">
        <v>157.6</v>
      </c>
      <c r="AC294">
        <v>154.9</v>
      </c>
      <c r="AD294">
        <v>150</v>
      </c>
      <c r="AE294">
        <v>156.9</v>
      </c>
    </row>
    <row r="295" spans="1:31" x14ac:dyDescent="0.3">
      <c r="A295" t="s">
        <v>49</v>
      </c>
      <c r="B295">
        <v>2021</v>
      </c>
      <c r="C295" t="s">
        <v>51</v>
      </c>
      <c r="D295" t="str">
        <f>_xlfn.CONCAT(All_India_Index_Upto_April23__1___1[[#This Row],[Year]],"-",All_India_Index_Upto_April23__1___1[[#This Row],[Month]])</f>
        <v>2021-March</v>
      </c>
      <c r="E295">
        <v>144.1</v>
      </c>
      <c r="F295">
        <v>192.2</v>
      </c>
      <c r="G295">
        <v>163.80000000000001</v>
      </c>
      <c r="H295">
        <v>154.9</v>
      </c>
      <c r="I295">
        <v>163.9</v>
      </c>
      <c r="J295">
        <v>153.69999999999999</v>
      </c>
      <c r="K295">
        <v>149.5</v>
      </c>
      <c r="L295">
        <v>159.80000000000001</v>
      </c>
      <c r="M295">
        <v>112.6</v>
      </c>
      <c r="N295">
        <v>163.5</v>
      </c>
      <c r="O295">
        <v>156.5</v>
      </c>
      <c r="P295">
        <v>168.2</v>
      </c>
      <c r="Q295">
        <v>156.69999999999999</v>
      </c>
      <c r="R295">
        <v>188.1</v>
      </c>
      <c r="S295">
        <v>157.80000000000001</v>
      </c>
      <c r="T295">
        <v>147.9</v>
      </c>
      <c r="U295">
        <v>156.4</v>
      </c>
      <c r="V295">
        <v>159.9</v>
      </c>
      <c r="W295">
        <v>155.5</v>
      </c>
      <c r="X295">
        <v>151.19999999999999</v>
      </c>
      <c r="Y295">
        <v>161.69999999999999</v>
      </c>
      <c r="Z295">
        <v>146.19999999999999</v>
      </c>
      <c r="AA295">
        <v>152.6</v>
      </c>
      <c r="AB295">
        <v>160.19999999999999</v>
      </c>
      <c r="AC295">
        <v>153.80000000000001</v>
      </c>
      <c r="AD295">
        <v>153.80000000000001</v>
      </c>
      <c r="AE295">
        <v>156.80000000000001</v>
      </c>
    </row>
    <row r="296" spans="1:31" x14ac:dyDescent="0.3">
      <c r="A296" t="s">
        <v>46</v>
      </c>
      <c r="B296">
        <v>2021</v>
      </c>
      <c r="C296" t="s">
        <v>52</v>
      </c>
      <c r="D296" t="str">
        <f>_xlfn.CONCAT(All_India_Index_Upto_April23__1___1[[#This Row],[Year]],"-",All_India_Index_Upto_April23__1___1[[#This Row],[Month]])</f>
        <v>2021-April</v>
      </c>
      <c r="E296">
        <v>142.69999999999999</v>
      </c>
      <c r="F296">
        <v>195.5</v>
      </c>
      <c r="G296">
        <v>163.4</v>
      </c>
      <c r="H296">
        <v>155</v>
      </c>
      <c r="I296">
        <v>175.2</v>
      </c>
      <c r="J296">
        <v>160.6</v>
      </c>
      <c r="K296">
        <v>135.1</v>
      </c>
      <c r="L296">
        <v>161.1</v>
      </c>
      <c r="M296">
        <v>112.2</v>
      </c>
      <c r="N296">
        <v>164.4</v>
      </c>
      <c r="O296">
        <v>161.9</v>
      </c>
      <c r="P296">
        <v>166.8</v>
      </c>
      <c r="Q296">
        <v>155.6</v>
      </c>
      <c r="R296">
        <v>186.8</v>
      </c>
      <c r="S296">
        <v>160.69999999999999</v>
      </c>
      <c r="T296">
        <v>155.1</v>
      </c>
      <c r="U296">
        <v>159.9</v>
      </c>
      <c r="V296">
        <v>161.5</v>
      </c>
      <c r="W296">
        <v>156</v>
      </c>
      <c r="X296">
        <v>155.5</v>
      </c>
      <c r="Y296">
        <v>165.3</v>
      </c>
      <c r="Z296">
        <v>151.69999999999999</v>
      </c>
      <c r="AA296">
        <v>158.6</v>
      </c>
      <c r="AB296">
        <v>164.1</v>
      </c>
      <c r="AC296">
        <v>154.6</v>
      </c>
      <c r="AD296">
        <v>158</v>
      </c>
      <c r="AE296">
        <v>157.6</v>
      </c>
    </row>
    <row r="297" spans="1:31" x14ac:dyDescent="0.3">
      <c r="A297" t="s">
        <v>48</v>
      </c>
      <c r="B297">
        <v>2021</v>
      </c>
      <c r="C297" t="s">
        <v>52</v>
      </c>
      <c r="D297" t="str">
        <f>_xlfn.CONCAT(All_India_Index_Upto_April23__1___1[[#This Row],[Year]],"-",All_India_Index_Upto_April23__1___1[[#This Row],[Month]])</f>
        <v>2021-April</v>
      </c>
      <c r="E297">
        <v>147.6</v>
      </c>
      <c r="F297">
        <v>202.5</v>
      </c>
      <c r="G297">
        <v>166.4</v>
      </c>
      <c r="H297">
        <v>156</v>
      </c>
      <c r="I297">
        <v>161.4</v>
      </c>
      <c r="J297">
        <v>168.8</v>
      </c>
      <c r="K297">
        <v>161.6</v>
      </c>
      <c r="L297">
        <v>162.80000000000001</v>
      </c>
      <c r="M297">
        <v>114.8</v>
      </c>
      <c r="N297">
        <v>162.80000000000001</v>
      </c>
      <c r="O297">
        <v>151.5</v>
      </c>
      <c r="P297">
        <v>171.4</v>
      </c>
      <c r="Q297">
        <v>162</v>
      </c>
      <c r="R297">
        <v>194.4</v>
      </c>
      <c r="S297">
        <v>155.9</v>
      </c>
      <c r="T297">
        <v>139.30000000000001</v>
      </c>
      <c r="U297">
        <v>153.4</v>
      </c>
      <c r="V297">
        <v>161.4</v>
      </c>
      <c r="W297">
        <v>154.9</v>
      </c>
      <c r="X297">
        <v>147.6</v>
      </c>
      <c r="Y297">
        <v>157.5</v>
      </c>
      <c r="Z297">
        <v>142.1</v>
      </c>
      <c r="AA297">
        <v>149.1</v>
      </c>
      <c r="AB297">
        <v>157.6</v>
      </c>
      <c r="AC297">
        <v>156.6</v>
      </c>
      <c r="AD297">
        <v>150.5</v>
      </c>
      <c r="AE297">
        <v>158</v>
      </c>
    </row>
    <row r="298" spans="1:31" x14ac:dyDescent="0.3">
      <c r="A298" t="s">
        <v>49</v>
      </c>
      <c r="B298">
        <v>2021</v>
      </c>
      <c r="C298" t="s">
        <v>52</v>
      </c>
      <c r="D298" t="str">
        <f>_xlfn.CONCAT(All_India_Index_Upto_April23__1___1[[#This Row],[Year]],"-",All_India_Index_Upto_April23__1___1[[#This Row],[Month]])</f>
        <v>2021-April</v>
      </c>
      <c r="E298">
        <v>144.30000000000001</v>
      </c>
      <c r="F298">
        <v>198</v>
      </c>
      <c r="G298">
        <v>164.6</v>
      </c>
      <c r="H298">
        <v>155.4</v>
      </c>
      <c r="I298">
        <v>170.1</v>
      </c>
      <c r="J298">
        <v>164.4</v>
      </c>
      <c r="K298">
        <v>144.1</v>
      </c>
      <c r="L298">
        <v>161.69999999999999</v>
      </c>
      <c r="M298">
        <v>113.1</v>
      </c>
      <c r="N298">
        <v>163.9</v>
      </c>
      <c r="O298">
        <v>157.6</v>
      </c>
      <c r="P298">
        <v>168.9</v>
      </c>
      <c r="Q298">
        <v>158</v>
      </c>
      <c r="R298">
        <v>188.8</v>
      </c>
      <c r="S298">
        <v>158.80000000000001</v>
      </c>
      <c r="T298">
        <v>148.5</v>
      </c>
      <c r="U298">
        <v>157.30000000000001</v>
      </c>
      <c r="V298">
        <v>161.4</v>
      </c>
      <c r="W298">
        <v>155.6</v>
      </c>
      <c r="X298">
        <v>151.80000000000001</v>
      </c>
      <c r="Y298">
        <v>162.30000000000001</v>
      </c>
      <c r="Z298">
        <v>146.6</v>
      </c>
      <c r="AA298">
        <v>153.19999999999999</v>
      </c>
      <c r="AB298">
        <v>160.30000000000001</v>
      </c>
      <c r="AC298">
        <v>155.4</v>
      </c>
      <c r="AD298">
        <v>154.4</v>
      </c>
      <c r="AE298">
        <v>157.80000000000001</v>
      </c>
    </row>
    <row r="299" spans="1:31" x14ac:dyDescent="0.3">
      <c r="A299" t="s">
        <v>46</v>
      </c>
      <c r="B299">
        <v>2021</v>
      </c>
      <c r="C299" t="s">
        <v>53</v>
      </c>
      <c r="D299" t="str">
        <f>_xlfn.CONCAT(All_India_Index_Upto_April23__1___1[[#This Row],[Year]],"-",All_India_Index_Upto_April23__1___1[[#This Row],[Month]])</f>
        <v>2021-May</v>
      </c>
      <c r="E299">
        <v>145.1</v>
      </c>
      <c r="F299">
        <v>198.5</v>
      </c>
      <c r="G299">
        <v>168.6</v>
      </c>
      <c r="H299">
        <v>155.80000000000001</v>
      </c>
      <c r="I299">
        <v>184.4</v>
      </c>
      <c r="J299">
        <v>162.30000000000001</v>
      </c>
      <c r="K299">
        <v>138.4</v>
      </c>
      <c r="L299">
        <v>165.1</v>
      </c>
      <c r="M299">
        <v>114.3</v>
      </c>
      <c r="N299">
        <v>169.7</v>
      </c>
      <c r="O299">
        <v>164.6</v>
      </c>
      <c r="P299">
        <v>169.8</v>
      </c>
      <c r="Q299">
        <v>158.69999999999999</v>
      </c>
      <c r="R299">
        <v>189.6</v>
      </c>
      <c r="S299">
        <v>165.3</v>
      </c>
      <c r="T299">
        <v>160.6</v>
      </c>
      <c r="U299">
        <v>164.5</v>
      </c>
      <c r="V299">
        <v>161.6</v>
      </c>
      <c r="W299">
        <v>161.69999999999999</v>
      </c>
      <c r="X299">
        <v>158.80000000000001</v>
      </c>
      <c r="Y299">
        <v>169.1</v>
      </c>
      <c r="Z299">
        <v>153.19999999999999</v>
      </c>
      <c r="AA299">
        <v>160</v>
      </c>
      <c r="AB299">
        <v>167.6</v>
      </c>
      <c r="AC299">
        <v>159.30000000000001</v>
      </c>
      <c r="AD299">
        <v>161.1</v>
      </c>
      <c r="AE299">
        <v>161.1</v>
      </c>
    </row>
    <row r="300" spans="1:31" x14ac:dyDescent="0.3">
      <c r="A300" t="s">
        <v>48</v>
      </c>
      <c r="B300">
        <v>2021</v>
      </c>
      <c r="C300" t="s">
        <v>53</v>
      </c>
      <c r="D300" t="str">
        <f>_xlfn.CONCAT(All_India_Index_Upto_April23__1___1[[#This Row],[Year]],"-",All_India_Index_Upto_April23__1___1[[#This Row],[Month]])</f>
        <v>2021-May</v>
      </c>
      <c r="E300">
        <v>148.80000000000001</v>
      </c>
      <c r="F300">
        <v>204.3</v>
      </c>
      <c r="G300">
        <v>173</v>
      </c>
      <c r="H300">
        <v>156.5</v>
      </c>
      <c r="I300">
        <v>168.8</v>
      </c>
      <c r="J300">
        <v>172.5</v>
      </c>
      <c r="K300">
        <v>166.5</v>
      </c>
      <c r="L300">
        <v>165.9</v>
      </c>
      <c r="M300">
        <v>115.9</v>
      </c>
      <c r="N300">
        <v>165.2</v>
      </c>
      <c r="O300">
        <v>152</v>
      </c>
      <c r="P300">
        <v>171.1</v>
      </c>
      <c r="Q300">
        <v>164.2</v>
      </c>
      <c r="R300">
        <v>198.2</v>
      </c>
      <c r="S300">
        <v>156.5</v>
      </c>
      <c r="T300">
        <v>140.19999999999999</v>
      </c>
      <c r="U300">
        <v>154.1</v>
      </c>
      <c r="V300">
        <v>161.6</v>
      </c>
      <c r="W300">
        <v>155.5</v>
      </c>
      <c r="X300">
        <v>150.1</v>
      </c>
      <c r="Y300">
        <v>160.4</v>
      </c>
      <c r="Z300">
        <v>145</v>
      </c>
      <c r="AA300">
        <v>152.6</v>
      </c>
      <c r="AB300">
        <v>156.6</v>
      </c>
      <c r="AC300">
        <v>157.5</v>
      </c>
      <c r="AD300">
        <v>152.30000000000001</v>
      </c>
      <c r="AE300">
        <v>159.5</v>
      </c>
    </row>
    <row r="301" spans="1:31" x14ac:dyDescent="0.3">
      <c r="A301" t="s">
        <v>49</v>
      </c>
      <c r="B301">
        <v>2021</v>
      </c>
      <c r="C301" t="s">
        <v>53</v>
      </c>
      <c r="D301" t="str">
        <f>_xlfn.CONCAT(All_India_Index_Upto_April23__1___1[[#This Row],[Year]],"-",All_India_Index_Upto_April23__1___1[[#This Row],[Month]])</f>
        <v>2021-May</v>
      </c>
      <c r="E301">
        <v>146.30000000000001</v>
      </c>
      <c r="F301">
        <v>200.5</v>
      </c>
      <c r="G301">
        <v>170.3</v>
      </c>
      <c r="H301">
        <v>156.1</v>
      </c>
      <c r="I301">
        <v>178.7</v>
      </c>
      <c r="J301">
        <v>167.1</v>
      </c>
      <c r="K301">
        <v>147.9</v>
      </c>
      <c r="L301">
        <v>165.4</v>
      </c>
      <c r="M301">
        <v>114.8</v>
      </c>
      <c r="N301">
        <v>168.2</v>
      </c>
      <c r="O301">
        <v>159.30000000000001</v>
      </c>
      <c r="P301">
        <v>170.4</v>
      </c>
      <c r="Q301">
        <v>160.69999999999999</v>
      </c>
      <c r="R301">
        <v>191.9</v>
      </c>
      <c r="S301">
        <v>161.80000000000001</v>
      </c>
      <c r="T301">
        <v>152.1</v>
      </c>
      <c r="U301">
        <v>160.4</v>
      </c>
      <c r="V301">
        <v>161.6</v>
      </c>
      <c r="W301">
        <v>159.4</v>
      </c>
      <c r="X301">
        <v>154.69999999999999</v>
      </c>
      <c r="Y301">
        <v>165.8</v>
      </c>
      <c r="Z301">
        <v>148.9</v>
      </c>
      <c r="AA301">
        <v>155.80000000000001</v>
      </c>
      <c r="AB301">
        <v>161.19999999999999</v>
      </c>
      <c r="AC301">
        <v>158.6</v>
      </c>
      <c r="AD301">
        <v>156.80000000000001</v>
      </c>
      <c r="AE301">
        <v>160.4</v>
      </c>
    </row>
    <row r="302" spans="1:31" x14ac:dyDescent="0.3">
      <c r="A302" t="s">
        <v>46</v>
      </c>
      <c r="B302">
        <v>2021</v>
      </c>
      <c r="C302" t="s">
        <v>54</v>
      </c>
      <c r="D302" t="str">
        <f>_xlfn.CONCAT(All_India_Index_Upto_April23__1___1[[#This Row],[Year]],"-",All_India_Index_Upto_April23__1___1[[#This Row],[Month]])</f>
        <v>2021-June</v>
      </c>
      <c r="E302">
        <v>145.6</v>
      </c>
      <c r="F302">
        <v>200.1</v>
      </c>
      <c r="G302">
        <v>179.3</v>
      </c>
      <c r="H302">
        <v>156.1</v>
      </c>
      <c r="I302">
        <v>190.4</v>
      </c>
      <c r="J302">
        <v>158.6</v>
      </c>
      <c r="K302">
        <v>144.69999999999999</v>
      </c>
      <c r="L302">
        <v>165.5</v>
      </c>
      <c r="M302">
        <v>114.6</v>
      </c>
      <c r="N302">
        <v>170</v>
      </c>
      <c r="O302">
        <v>165.5</v>
      </c>
      <c r="P302">
        <v>171.7</v>
      </c>
      <c r="Q302">
        <v>160.5</v>
      </c>
      <c r="R302">
        <v>189.1</v>
      </c>
      <c r="S302">
        <v>165.3</v>
      </c>
      <c r="T302">
        <v>159.9</v>
      </c>
      <c r="U302">
        <v>164.6</v>
      </c>
      <c r="V302">
        <v>160.5</v>
      </c>
      <c r="W302">
        <v>162.1</v>
      </c>
      <c r="X302">
        <v>159.19999999999999</v>
      </c>
      <c r="Y302">
        <v>169.7</v>
      </c>
      <c r="Z302">
        <v>154.19999999999999</v>
      </c>
      <c r="AA302">
        <v>160.4</v>
      </c>
      <c r="AB302">
        <v>166.8</v>
      </c>
      <c r="AC302">
        <v>159.4</v>
      </c>
      <c r="AD302">
        <v>161.5</v>
      </c>
      <c r="AE302">
        <v>162.1</v>
      </c>
    </row>
    <row r="303" spans="1:31" x14ac:dyDescent="0.3">
      <c r="A303" t="s">
        <v>48</v>
      </c>
      <c r="B303">
        <v>2021</v>
      </c>
      <c r="C303" t="s">
        <v>54</v>
      </c>
      <c r="D303" t="str">
        <f>_xlfn.CONCAT(All_India_Index_Upto_April23__1___1[[#This Row],[Year]],"-",All_India_Index_Upto_April23__1___1[[#This Row],[Month]])</f>
        <v>2021-June</v>
      </c>
      <c r="E303">
        <v>149.19999999999999</v>
      </c>
      <c r="F303">
        <v>205.5</v>
      </c>
      <c r="G303">
        <v>182.8</v>
      </c>
      <c r="H303">
        <v>156.5</v>
      </c>
      <c r="I303">
        <v>172.2</v>
      </c>
      <c r="J303">
        <v>171.5</v>
      </c>
      <c r="K303">
        <v>176.2</v>
      </c>
      <c r="L303">
        <v>166.9</v>
      </c>
      <c r="M303">
        <v>116.1</v>
      </c>
      <c r="N303">
        <v>165.5</v>
      </c>
      <c r="O303">
        <v>152.30000000000001</v>
      </c>
      <c r="P303">
        <v>173.3</v>
      </c>
      <c r="Q303">
        <v>166.2</v>
      </c>
      <c r="R303">
        <v>195.6</v>
      </c>
      <c r="S303">
        <v>157.30000000000001</v>
      </c>
      <c r="T303">
        <v>140.5</v>
      </c>
      <c r="U303">
        <v>154.80000000000001</v>
      </c>
      <c r="V303">
        <v>160.5</v>
      </c>
      <c r="W303">
        <v>156.1</v>
      </c>
      <c r="X303">
        <v>149.80000000000001</v>
      </c>
      <c r="Y303">
        <v>160.80000000000001</v>
      </c>
      <c r="Z303">
        <v>147.5</v>
      </c>
      <c r="AA303">
        <v>150.69999999999999</v>
      </c>
      <c r="AB303">
        <v>158.1</v>
      </c>
      <c r="AC303">
        <v>158</v>
      </c>
      <c r="AD303">
        <v>153.4</v>
      </c>
      <c r="AE303">
        <v>160.4</v>
      </c>
    </row>
    <row r="304" spans="1:31" x14ac:dyDescent="0.3">
      <c r="A304" t="s">
        <v>49</v>
      </c>
      <c r="B304">
        <v>2021</v>
      </c>
      <c r="C304" t="s">
        <v>54</v>
      </c>
      <c r="D304" t="str">
        <f>_xlfn.CONCAT(All_India_Index_Upto_April23__1___1[[#This Row],[Year]],"-",All_India_Index_Upto_April23__1___1[[#This Row],[Month]])</f>
        <v>2021-June</v>
      </c>
      <c r="E304">
        <v>146.69999999999999</v>
      </c>
      <c r="F304">
        <v>202</v>
      </c>
      <c r="G304">
        <v>180.7</v>
      </c>
      <c r="H304">
        <v>156.19999999999999</v>
      </c>
      <c r="I304">
        <v>183.7</v>
      </c>
      <c r="J304">
        <v>164.6</v>
      </c>
      <c r="K304">
        <v>155.4</v>
      </c>
      <c r="L304">
        <v>166</v>
      </c>
      <c r="M304">
        <v>115.1</v>
      </c>
      <c r="N304">
        <v>168.5</v>
      </c>
      <c r="O304">
        <v>160</v>
      </c>
      <c r="P304">
        <v>172.4</v>
      </c>
      <c r="Q304">
        <v>162.6</v>
      </c>
      <c r="R304">
        <v>190.8</v>
      </c>
      <c r="S304">
        <v>162.19999999999999</v>
      </c>
      <c r="T304">
        <v>151.80000000000001</v>
      </c>
      <c r="U304">
        <v>160.69999999999999</v>
      </c>
      <c r="V304">
        <v>160.5</v>
      </c>
      <c r="W304">
        <v>159.80000000000001</v>
      </c>
      <c r="X304">
        <v>154.80000000000001</v>
      </c>
      <c r="Y304">
        <v>166.3</v>
      </c>
      <c r="Z304">
        <v>150.69999999999999</v>
      </c>
      <c r="AA304">
        <v>154.9</v>
      </c>
      <c r="AB304">
        <v>161.69999999999999</v>
      </c>
      <c r="AC304">
        <v>158.80000000000001</v>
      </c>
      <c r="AD304">
        <v>157.6</v>
      </c>
      <c r="AE304">
        <v>161.30000000000001</v>
      </c>
    </row>
    <row r="305" spans="1:31" x14ac:dyDescent="0.3">
      <c r="A305" t="s">
        <v>46</v>
      </c>
      <c r="B305">
        <v>2021</v>
      </c>
      <c r="C305" t="s">
        <v>55</v>
      </c>
      <c r="D305" t="str">
        <f>_xlfn.CONCAT(All_India_Index_Upto_April23__1___1[[#This Row],[Year]],"-",All_India_Index_Upto_April23__1___1[[#This Row],[Month]])</f>
        <v>2021-July</v>
      </c>
      <c r="E305">
        <v>145.1</v>
      </c>
      <c r="F305">
        <v>204.5</v>
      </c>
      <c r="G305">
        <v>180.4</v>
      </c>
      <c r="H305">
        <v>157.1</v>
      </c>
      <c r="I305">
        <v>188.7</v>
      </c>
      <c r="J305">
        <v>157.69999999999999</v>
      </c>
      <c r="K305">
        <v>152.80000000000001</v>
      </c>
      <c r="L305">
        <v>163.6</v>
      </c>
      <c r="M305">
        <v>113.9</v>
      </c>
      <c r="N305">
        <v>169.7</v>
      </c>
      <c r="O305">
        <v>166.2</v>
      </c>
      <c r="P305">
        <v>171</v>
      </c>
      <c r="Q305">
        <v>161.69999999999999</v>
      </c>
      <c r="R305">
        <v>189.7</v>
      </c>
      <c r="S305">
        <v>166</v>
      </c>
      <c r="T305">
        <v>161.1</v>
      </c>
      <c r="U305">
        <v>165.3</v>
      </c>
      <c r="V305">
        <v>161.5</v>
      </c>
      <c r="W305">
        <v>162.5</v>
      </c>
      <c r="X305">
        <v>160.30000000000001</v>
      </c>
      <c r="Y305">
        <v>170.4</v>
      </c>
      <c r="Z305">
        <v>157.1</v>
      </c>
      <c r="AA305">
        <v>160.69999999999999</v>
      </c>
      <c r="AB305">
        <v>167.2</v>
      </c>
      <c r="AC305">
        <v>160.4</v>
      </c>
      <c r="AD305">
        <v>162.80000000000001</v>
      </c>
      <c r="AE305">
        <v>163.19999999999999</v>
      </c>
    </row>
    <row r="306" spans="1:31" x14ac:dyDescent="0.3">
      <c r="A306" t="s">
        <v>48</v>
      </c>
      <c r="B306">
        <v>2021</v>
      </c>
      <c r="C306" t="s">
        <v>55</v>
      </c>
      <c r="D306" t="str">
        <f>_xlfn.CONCAT(All_India_Index_Upto_April23__1___1[[#This Row],[Year]],"-",All_India_Index_Upto_April23__1___1[[#This Row],[Month]])</f>
        <v>2021-July</v>
      </c>
      <c r="E306">
        <v>149.1</v>
      </c>
      <c r="F306">
        <v>210.9</v>
      </c>
      <c r="G306">
        <v>185</v>
      </c>
      <c r="H306">
        <v>158.19999999999999</v>
      </c>
      <c r="I306">
        <v>170.6</v>
      </c>
      <c r="J306">
        <v>170.9</v>
      </c>
      <c r="K306">
        <v>186.4</v>
      </c>
      <c r="L306">
        <v>164.7</v>
      </c>
      <c r="M306">
        <v>115.7</v>
      </c>
      <c r="N306">
        <v>165.5</v>
      </c>
      <c r="O306">
        <v>153.4</v>
      </c>
      <c r="P306">
        <v>173.5</v>
      </c>
      <c r="Q306">
        <v>167.9</v>
      </c>
      <c r="R306">
        <v>195.5</v>
      </c>
      <c r="S306">
        <v>157.9</v>
      </c>
      <c r="T306">
        <v>141.9</v>
      </c>
      <c r="U306">
        <v>155.5</v>
      </c>
      <c r="V306">
        <v>161.5</v>
      </c>
      <c r="W306">
        <v>157.69999999999999</v>
      </c>
      <c r="X306">
        <v>150.69999999999999</v>
      </c>
      <c r="Y306">
        <v>161.5</v>
      </c>
      <c r="Z306">
        <v>149.5</v>
      </c>
      <c r="AA306">
        <v>151.19999999999999</v>
      </c>
      <c r="AB306">
        <v>160.30000000000001</v>
      </c>
      <c r="AC306">
        <v>159.6</v>
      </c>
      <c r="AD306">
        <v>155</v>
      </c>
      <c r="AE306">
        <v>161.80000000000001</v>
      </c>
    </row>
    <row r="307" spans="1:31" x14ac:dyDescent="0.3">
      <c r="A307" t="s">
        <v>49</v>
      </c>
      <c r="B307">
        <v>2021</v>
      </c>
      <c r="C307" t="s">
        <v>55</v>
      </c>
      <c r="D307" t="str">
        <f>_xlfn.CONCAT(All_India_Index_Upto_April23__1___1[[#This Row],[Year]],"-",All_India_Index_Upto_April23__1___1[[#This Row],[Month]])</f>
        <v>2021-July</v>
      </c>
      <c r="E307">
        <v>146.4</v>
      </c>
      <c r="F307">
        <v>206.8</v>
      </c>
      <c r="G307">
        <v>182.2</v>
      </c>
      <c r="H307">
        <v>157.5</v>
      </c>
      <c r="I307">
        <v>182.1</v>
      </c>
      <c r="J307">
        <v>163.9</v>
      </c>
      <c r="K307">
        <v>164.2</v>
      </c>
      <c r="L307">
        <v>164</v>
      </c>
      <c r="M307">
        <v>114.5</v>
      </c>
      <c r="N307">
        <v>168.3</v>
      </c>
      <c r="O307">
        <v>160.9</v>
      </c>
      <c r="P307">
        <v>172.2</v>
      </c>
      <c r="Q307">
        <v>164</v>
      </c>
      <c r="R307">
        <v>191.2</v>
      </c>
      <c r="S307">
        <v>162.80000000000001</v>
      </c>
      <c r="T307">
        <v>153.1</v>
      </c>
      <c r="U307">
        <v>161.4</v>
      </c>
      <c r="V307">
        <v>161.5</v>
      </c>
      <c r="W307">
        <v>160.69999999999999</v>
      </c>
      <c r="X307">
        <v>155.80000000000001</v>
      </c>
      <c r="Y307">
        <v>167</v>
      </c>
      <c r="Z307">
        <v>153.1</v>
      </c>
      <c r="AA307">
        <v>155.30000000000001</v>
      </c>
      <c r="AB307">
        <v>163.19999999999999</v>
      </c>
      <c r="AC307">
        <v>160.1</v>
      </c>
      <c r="AD307">
        <v>159</v>
      </c>
      <c r="AE307">
        <v>162.5</v>
      </c>
    </row>
    <row r="308" spans="1:31" x14ac:dyDescent="0.3">
      <c r="A308" t="s">
        <v>46</v>
      </c>
      <c r="B308">
        <v>2021</v>
      </c>
      <c r="C308" t="s">
        <v>56</v>
      </c>
      <c r="D308" t="str">
        <f>_xlfn.CONCAT(All_India_Index_Upto_April23__1___1[[#This Row],[Year]],"-",All_India_Index_Upto_April23__1___1[[#This Row],[Month]])</f>
        <v>2021-August</v>
      </c>
      <c r="E308">
        <v>144.9</v>
      </c>
      <c r="F308">
        <v>202.3</v>
      </c>
      <c r="G308">
        <v>176.5</v>
      </c>
      <c r="H308">
        <v>157.5</v>
      </c>
      <c r="I308">
        <v>190.9</v>
      </c>
      <c r="J308">
        <v>155.69999999999999</v>
      </c>
      <c r="K308">
        <v>153.9</v>
      </c>
      <c r="L308">
        <v>162.80000000000001</v>
      </c>
      <c r="M308">
        <v>115.2</v>
      </c>
      <c r="N308">
        <v>169.8</v>
      </c>
      <c r="O308">
        <v>167.6</v>
      </c>
      <c r="P308">
        <v>171.9</v>
      </c>
      <c r="Q308">
        <v>161.80000000000001</v>
      </c>
      <c r="R308">
        <v>190.2</v>
      </c>
      <c r="S308">
        <v>167</v>
      </c>
      <c r="T308">
        <v>162.6</v>
      </c>
      <c r="U308">
        <v>166.3</v>
      </c>
      <c r="V308">
        <v>162.1</v>
      </c>
      <c r="W308">
        <v>163.1</v>
      </c>
      <c r="X308">
        <v>160.9</v>
      </c>
      <c r="Y308">
        <v>171.1</v>
      </c>
      <c r="Z308">
        <v>157.69999999999999</v>
      </c>
      <c r="AA308">
        <v>161.1</v>
      </c>
      <c r="AB308">
        <v>167.5</v>
      </c>
      <c r="AC308">
        <v>160.30000000000001</v>
      </c>
      <c r="AD308">
        <v>163.30000000000001</v>
      </c>
      <c r="AE308">
        <v>163.6</v>
      </c>
    </row>
    <row r="309" spans="1:31" x14ac:dyDescent="0.3">
      <c r="A309" t="s">
        <v>48</v>
      </c>
      <c r="B309">
        <v>2021</v>
      </c>
      <c r="C309" t="s">
        <v>56</v>
      </c>
      <c r="D309" t="str">
        <f>_xlfn.CONCAT(All_India_Index_Upto_April23__1___1[[#This Row],[Year]],"-",All_India_Index_Upto_April23__1___1[[#This Row],[Month]])</f>
        <v>2021-August</v>
      </c>
      <c r="E309">
        <v>149.30000000000001</v>
      </c>
      <c r="F309">
        <v>207.4</v>
      </c>
      <c r="G309">
        <v>174.1</v>
      </c>
      <c r="H309">
        <v>159.19999999999999</v>
      </c>
      <c r="I309">
        <v>175</v>
      </c>
      <c r="J309">
        <v>161.30000000000001</v>
      </c>
      <c r="K309">
        <v>183.3</v>
      </c>
      <c r="L309">
        <v>164.5</v>
      </c>
      <c r="M309">
        <v>120.4</v>
      </c>
      <c r="N309">
        <v>166.2</v>
      </c>
      <c r="O309">
        <v>154.80000000000001</v>
      </c>
      <c r="P309">
        <v>175.1</v>
      </c>
      <c r="Q309">
        <v>167.3</v>
      </c>
      <c r="R309">
        <v>196.5</v>
      </c>
      <c r="S309">
        <v>159.80000000000001</v>
      </c>
      <c r="T309">
        <v>143.6</v>
      </c>
      <c r="U309">
        <v>157.30000000000001</v>
      </c>
      <c r="V309">
        <v>162.1</v>
      </c>
      <c r="W309">
        <v>160.69999999999999</v>
      </c>
      <c r="X309">
        <v>153.19999999999999</v>
      </c>
      <c r="Y309">
        <v>162.80000000000001</v>
      </c>
      <c r="Z309">
        <v>150.4</v>
      </c>
      <c r="AA309">
        <v>153.69999999999999</v>
      </c>
      <c r="AB309">
        <v>160.4</v>
      </c>
      <c r="AC309">
        <v>159.6</v>
      </c>
      <c r="AD309">
        <v>156</v>
      </c>
      <c r="AE309">
        <v>162.30000000000001</v>
      </c>
    </row>
    <row r="310" spans="1:31" x14ac:dyDescent="0.3">
      <c r="A310" t="s">
        <v>49</v>
      </c>
      <c r="B310">
        <v>2021</v>
      </c>
      <c r="C310" t="s">
        <v>56</v>
      </c>
      <c r="D310" t="str">
        <f>_xlfn.CONCAT(All_India_Index_Upto_April23__1___1[[#This Row],[Year]],"-",All_India_Index_Upto_April23__1___1[[#This Row],[Month]])</f>
        <v>2021-August</v>
      </c>
      <c r="E310">
        <v>146.6</v>
      </c>
      <c r="F310">
        <v>204</v>
      </c>
      <c r="G310">
        <v>172.8</v>
      </c>
      <c r="H310">
        <v>158.4</v>
      </c>
      <c r="I310">
        <v>188</v>
      </c>
      <c r="J310">
        <v>156.80000000000001</v>
      </c>
      <c r="K310">
        <v>162.19999999999999</v>
      </c>
      <c r="L310">
        <v>164.1</v>
      </c>
      <c r="M310">
        <v>119.7</v>
      </c>
      <c r="N310">
        <v>168.8</v>
      </c>
      <c r="O310">
        <v>162.69999999999999</v>
      </c>
      <c r="P310">
        <v>173.9</v>
      </c>
      <c r="Q310">
        <v>164</v>
      </c>
      <c r="R310">
        <v>192.1</v>
      </c>
      <c r="S310">
        <v>164.5</v>
      </c>
      <c r="T310">
        <v>155.30000000000001</v>
      </c>
      <c r="U310">
        <v>163.19999999999999</v>
      </c>
      <c r="V310">
        <v>162.1</v>
      </c>
      <c r="W310">
        <v>162.6</v>
      </c>
      <c r="X310">
        <v>157.5</v>
      </c>
      <c r="Y310">
        <v>168.4</v>
      </c>
      <c r="Z310">
        <v>154</v>
      </c>
      <c r="AA310">
        <v>157.6</v>
      </c>
      <c r="AB310">
        <v>163.80000000000001</v>
      </c>
      <c r="AC310">
        <v>160</v>
      </c>
      <c r="AD310">
        <v>160</v>
      </c>
      <c r="AE310">
        <v>163.19999999999999</v>
      </c>
    </row>
    <row r="311" spans="1:31" x14ac:dyDescent="0.3">
      <c r="A311" t="s">
        <v>46</v>
      </c>
      <c r="B311">
        <v>2021</v>
      </c>
      <c r="C311" t="s">
        <v>57</v>
      </c>
      <c r="D311" t="str">
        <f>_xlfn.CONCAT(All_India_Index_Upto_April23__1___1[[#This Row],[Year]],"-",All_India_Index_Upto_April23__1___1[[#This Row],[Month]])</f>
        <v>2021-September</v>
      </c>
      <c r="E311">
        <v>145.4</v>
      </c>
      <c r="F311">
        <v>202.1</v>
      </c>
      <c r="G311">
        <v>172</v>
      </c>
      <c r="H311">
        <v>158</v>
      </c>
      <c r="I311">
        <v>195.5</v>
      </c>
      <c r="J311">
        <v>152.69999999999999</v>
      </c>
      <c r="K311">
        <v>151.4</v>
      </c>
      <c r="L311">
        <v>163.9</v>
      </c>
      <c r="M311">
        <v>119.3</v>
      </c>
      <c r="N311">
        <v>170.1</v>
      </c>
      <c r="O311">
        <v>168.3</v>
      </c>
      <c r="P311">
        <v>172.8</v>
      </c>
      <c r="Q311">
        <v>162.1</v>
      </c>
      <c r="R311">
        <v>190.5</v>
      </c>
      <c r="S311">
        <v>167.7</v>
      </c>
      <c r="T311">
        <v>163.6</v>
      </c>
      <c r="U311">
        <v>167.1</v>
      </c>
      <c r="V311">
        <v>162.1</v>
      </c>
      <c r="W311">
        <v>163.69999999999999</v>
      </c>
      <c r="X311">
        <v>161.30000000000001</v>
      </c>
      <c r="Y311">
        <v>171.9</v>
      </c>
      <c r="Z311">
        <v>157.80000000000001</v>
      </c>
      <c r="AA311">
        <v>162.69999999999999</v>
      </c>
      <c r="AB311">
        <v>168.5</v>
      </c>
      <c r="AC311">
        <v>160.19999999999999</v>
      </c>
      <c r="AD311">
        <v>163.80000000000001</v>
      </c>
      <c r="AE311">
        <v>164</v>
      </c>
    </row>
    <row r="312" spans="1:31" x14ac:dyDescent="0.3">
      <c r="A312" t="s">
        <v>48</v>
      </c>
      <c r="B312">
        <v>2021</v>
      </c>
      <c r="C312" t="s">
        <v>57</v>
      </c>
      <c r="D312" t="str">
        <f>_xlfn.CONCAT(All_India_Index_Upto_April23__1___1[[#This Row],[Year]],"-",All_India_Index_Upto_April23__1___1[[#This Row],[Month]])</f>
        <v>2021-September</v>
      </c>
      <c r="E312">
        <v>149.30000000000001</v>
      </c>
      <c r="F312">
        <v>207.4</v>
      </c>
      <c r="G312">
        <v>174.1</v>
      </c>
      <c r="H312">
        <v>159.1</v>
      </c>
      <c r="I312">
        <v>175</v>
      </c>
      <c r="J312">
        <v>161.19999999999999</v>
      </c>
      <c r="K312">
        <v>183.5</v>
      </c>
      <c r="L312">
        <v>164.5</v>
      </c>
      <c r="M312">
        <v>120.4</v>
      </c>
      <c r="N312">
        <v>166.2</v>
      </c>
      <c r="O312">
        <v>154.80000000000001</v>
      </c>
      <c r="P312">
        <v>175.1</v>
      </c>
      <c r="Q312">
        <v>167.3</v>
      </c>
      <c r="R312">
        <v>196.5</v>
      </c>
      <c r="S312">
        <v>159.80000000000001</v>
      </c>
      <c r="T312">
        <v>143.6</v>
      </c>
      <c r="U312">
        <v>157.4</v>
      </c>
      <c r="V312">
        <v>162.1</v>
      </c>
      <c r="W312">
        <v>160.80000000000001</v>
      </c>
      <c r="X312">
        <v>153.30000000000001</v>
      </c>
      <c r="Y312">
        <v>162.80000000000001</v>
      </c>
      <c r="Z312">
        <v>150.5</v>
      </c>
      <c r="AA312">
        <v>153.9</v>
      </c>
      <c r="AB312">
        <v>160.30000000000001</v>
      </c>
      <c r="AC312">
        <v>159.6</v>
      </c>
      <c r="AD312">
        <v>156</v>
      </c>
      <c r="AE312">
        <v>162.30000000000001</v>
      </c>
    </row>
    <row r="313" spans="1:31" x14ac:dyDescent="0.3">
      <c r="A313" t="s">
        <v>49</v>
      </c>
      <c r="B313">
        <v>2021</v>
      </c>
      <c r="C313" t="s">
        <v>57</v>
      </c>
      <c r="D313" t="str">
        <f>_xlfn.CONCAT(All_India_Index_Upto_April23__1___1[[#This Row],[Year]],"-",All_India_Index_Upto_April23__1___1[[#This Row],[Month]])</f>
        <v>2021-September</v>
      </c>
      <c r="E313">
        <v>146.6</v>
      </c>
      <c r="F313">
        <v>204</v>
      </c>
      <c r="G313">
        <v>172.8</v>
      </c>
      <c r="H313">
        <v>158.4</v>
      </c>
      <c r="I313">
        <v>188</v>
      </c>
      <c r="J313">
        <v>156.69999999999999</v>
      </c>
      <c r="K313">
        <v>162.30000000000001</v>
      </c>
      <c r="L313">
        <v>164.1</v>
      </c>
      <c r="M313">
        <v>119.7</v>
      </c>
      <c r="N313">
        <v>168.8</v>
      </c>
      <c r="O313">
        <v>162.69999999999999</v>
      </c>
      <c r="P313">
        <v>173.9</v>
      </c>
      <c r="Q313">
        <v>164</v>
      </c>
      <c r="R313">
        <v>192.1</v>
      </c>
      <c r="S313">
        <v>164.6</v>
      </c>
      <c r="T313">
        <v>155.30000000000001</v>
      </c>
      <c r="U313">
        <v>163.30000000000001</v>
      </c>
      <c r="V313">
        <v>162.1</v>
      </c>
      <c r="W313">
        <v>162.6</v>
      </c>
      <c r="X313">
        <v>157.5</v>
      </c>
      <c r="Y313">
        <v>168.4</v>
      </c>
      <c r="Z313">
        <v>154</v>
      </c>
      <c r="AA313">
        <v>157.69999999999999</v>
      </c>
      <c r="AB313">
        <v>163.69999999999999</v>
      </c>
      <c r="AC313">
        <v>160</v>
      </c>
      <c r="AD313">
        <v>160</v>
      </c>
      <c r="AE313">
        <v>163.19999999999999</v>
      </c>
    </row>
    <row r="314" spans="1:31" x14ac:dyDescent="0.3">
      <c r="A314" t="s">
        <v>46</v>
      </c>
      <c r="B314">
        <v>2021</v>
      </c>
      <c r="C314" t="s">
        <v>58</v>
      </c>
      <c r="D314" t="str">
        <f>_xlfn.CONCAT(All_India_Index_Upto_April23__1___1[[#This Row],[Year]],"-",All_India_Index_Upto_April23__1___1[[#This Row],[Month]])</f>
        <v>2021-October</v>
      </c>
      <c r="E314">
        <v>146.1</v>
      </c>
      <c r="F314">
        <v>202.5</v>
      </c>
      <c r="G314">
        <v>170.1</v>
      </c>
      <c r="H314">
        <v>158.4</v>
      </c>
      <c r="I314">
        <v>198.8</v>
      </c>
      <c r="J314">
        <v>152.6</v>
      </c>
      <c r="K314">
        <v>170.4</v>
      </c>
      <c r="L314">
        <v>165.2</v>
      </c>
      <c r="M314">
        <v>121.6</v>
      </c>
      <c r="N314">
        <v>170.6</v>
      </c>
      <c r="O314">
        <v>168.8</v>
      </c>
      <c r="P314">
        <v>173.6</v>
      </c>
      <c r="Q314">
        <v>165.5</v>
      </c>
      <c r="R314">
        <v>191.2</v>
      </c>
      <c r="S314">
        <v>168.9</v>
      </c>
      <c r="T314">
        <v>164.8</v>
      </c>
      <c r="U314">
        <v>168.3</v>
      </c>
      <c r="V314">
        <v>163.6</v>
      </c>
      <c r="W314">
        <v>165.5</v>
      </c>
      <c r="X314">
        <v>162</v>
      </c>
      <c r="Y314">
        <v>172.5</v>
      </c>
      <c r="Z314">
        <v>159.5</v>
      </c>
      <c r="AA314">
        <v>163.19999999999999</v>
      </c>
      <c r="AB314">
        <v>169</v>
      </c>
      <c r="AC314">
        <v>161.1</v>
      </c>
      <c r="AD314">
        <v>164.7</v>
      </c>
      <c r="AE314">
        <v>166.3</v>
      </c>
    </row>
    <row r="315" spans="1:31" x14ac:dyDescent="0.3">
      <c r="A315" t="s">
        <v>48</v>
      </c>
      <c r="B315">
        <v>2021</v>
      </c>
      <c r="C315" t="s">
        <v>58</v>
      </c>
      <c r="D315" t="str">
        <f>_xlfn.CONCAT(All_India_Index_Upto_April23__1___1[[#This Row],[Year]],"-",All_India_Index_Upto_April23__1___1[[#This Row],[Month]])</f>
        <v>2021-October</v>
      </c>
      <c r="E315">
        <v>150.1</v>
      </c>
      <c r="F315">
        <v>208.4</v>
      </c>
      <c r="G315">
        <v>173</v>
      </c>
      <c r="H315">
        <v>159.19999999999999</v>
      </c>
      <c r="I315">
        <v>176.6</v>
      </c>
      <c r="J315">
        <v>159.30000000000001</v>
      </c>
      <c r="K315">
        <v>214.4</v>
      </c>
      <c r="L315">
        <v>165.3</v>
      </c>
      <c r="M315">
        <v>122.5</v>
      </c>
      <c r="N315">
        <v>166.8</v>
      </c>
      <c r="O315">
        <v>155.4</v>
      </c>
      <c r="P315">
        <v>175.9</v>
      </c>
      <c r="Q315">
        <v>171.5</v>
      </c>
      <c r="R315">
        <v>197</v>
      </c>
      <c r="S315">
        <v>160.80000000000001</v>
      </c>
      <c r="T315">
        <v>144.4</v>
      </c>
      <c r="U315">
        <v>158.30000000000001</v>
      </c>
      <c r="V315">
        <v>163.6</v>
      </c>
      <c r="W315">
        <v>162.19999999999999</v>
      </c>
      <c r="X315">
        <v>154.30000000000001</v>
      </c>
      <c r="Y315">
        <v>163.5</v>
      </c>
      <c r="Z315">
        <v>152.19999999999999</v>
      </c>
      <c r="AA315">
        <v>155.1</v>
      </c>
      <c r="AB315">
        <v>160.30000000000001</v>
      </c>
      <c r="AC315">
        <v>160.30000000000001</v>
      </c>
      <c r="AD315">
        <v>157</v>
      </c>
      <c r="AE315">
        <v>164.6</v>
      </c>
    </row>
    <row r="316" spans="1:31" x14ac:dyDescent="0.3">
      <c r="A316" t="s">
        <v>49</v>
      </c>
      <c r="B316">
        <v>2021</v>
      </c>
      <c r="C316" t="s">
        <v>58</v>
      </c>
      <c r="D316" t="str">
        <f>_xlfn.CONCAT(All_India_Index_Upto_April23__1___1[[#This Row],[Year]],"-",All_India_Index_Upto_April23__1___1[[#This Row],[Month]])</f>
        <v>2021-October</v>
      </c>
      <c r="E316">
        <v>147.4</v>
      </c>
      <c r="F316">
        <v>204.6</v>
      </c>
      <c r="G316">
        <v>171.2</v>
      </c>
      <c r="H316">
        <v>158.69999999999999</v>
      </c>
      <c r="I316">
        <v>190.6</v>
      </c>
      <c r="J316">
        <v>155.69999999999999</v>
      </c>
      <c r="K316">
        <v>185.3</v>
      </c>
      <c r="L316">
        <v>165.2</v>
      </c>
      <c r="M316">
        <v>121.9</v>
      </c>
      <c r="N316">
        <v>169.3</v>
      </c>
      <c r="O316">
        <v>163.19999999999999</v>
      </c>
      <c r="P316">
        <v>174.7</v>
      </c>
      <c r="Q316">
        <v>167.7</v>
      </c>
      <c r="R316">
        <v>192.7</v>
      </c>
      <c r="S316">
        <v>165.7</v>
      </c>
      <c r="T316">
        <v>156.30000000000001</v>
      </c>
      <c r="U316">
        <v>164.3</v>
      </c>
      <c r="V316">
        <v>163.6</v>
      </c>
      <c r="W316">
        <v>164.2</v>
      </c>
      <c r="X316">
        <v>158.4</v>
      </c>
      <c r="Y316">
        <v>169.1</v>
      </c>
      <c r="Z316">
        <v>155.69999999999999</v>
      </c>
      <c r="AA316">
        <v>158.6</v>
      </c>
      <c r="AB316">
        <v>163.9</v>
      </c>
      <c r="AC316">
        <v>160.80000000000001</v>
      </c>
      <c r="AD316">
        <v>161</v>
      </c>
      <c r="AE316">
        <v>165.5</v>
      </c>
    </row>
    <row r="317" spans="1:31" x14ac:dyDescent="0.3">
      <c r="A317" t="s">
        <v>46</v>
      </c>
      <c r="B317">
        <v>2021</v>
      </c>
      <c r="C317" t="s">
        <v>60</v>
      </c>
      <c r="D317" t="str">
        <f>_xlfn.CONCAT(All_India_Index_Upto_April23__1___1[[#This Row],[Year]],"-",All_India_Index_Upto_April23__1___1[[#This Row],[Month]])</f>
        <v>2021-November</v>
      </c>
      <c r="E317">
        <v>146.9</v>
      </c>
      <c r="F317">
        <v>199.8</v>
      </c>
      <c r="G317">
        <v>171.5</v>
      </c>
      <c r="H317">
        <v>159.1</v>
      </c>
      <c r="I317">
        <v>198.4</v>
      </c>
      <c r="J317">
        <v>153.19999999999999</v>
      </c>
      <c r="K317">
        <v>183.9</v>
      </c>
      <c r="L317">
        <v>165.4</v>
      </c>
      <c r="M317">
        <v>122.1</v>
      </c>
      <c r="N317">
        <v>170.8</v>
      </c>
      <c r="O317">
        <v>169.1</v>
      </c>
      <c r="P317">
        <v>174.3</v>
      </c>
      <c r="Q317">
        <v>167.5</v>
      </c>
      <c r="R317">
        <v>191.4</v>
      </c>
      <c r="S317">
        <v>170.4</v>
      </c>
      <c r="T317">
        <v>166</v>
      </c>
      <c r="U317">
        <v>169.8</v>
      </c>
      <c r="V317">
        <v>164.2</v>
      </c>
      <c r="W317">
        <v>165.3</v>
      </c>
      <c r="X317">
        <v>162.9</v>
      </c>
      <c r="Y317">
        <v>173.4</v>
      </c>
      <c r="Z317">
        <v>158.9</v>
      </c>
      <c r="AA317">
        <v>163.80000000000001</v>
      </c>
      <c r="AB317">
        <v>169.3</v>
      </c>
      <c r="AC317">
        <v>162.4</v>
      </c>
      <c r="AD317">
        <v>165.2</v>
      </c>
      <c r="AE317">
        <v>167.6</v>
      </c>
    </row>
    <row r="318" spans="1:31" x14ac:dyDescent="0.3">
      <c r="A318" t="s">
        <v>48</v>
      </c>
      <c r="B318">
        <v>2021</v>
      </c>
      <c r="C318" t="s">
        <v>60</v>
      </c>
      <c r="D318" t="str">
        <f>_xlfn.CONCAT(All_India_Index_Upto_April23__1___1[[#This Row],[Year]],"-",All_India_Index_Upto_April23__1___1[[#This Row],[Month]])</f>
        <v>2021-November</v>
      </c>
      <c r="E318">
        <v>151</v>
      </c>
      <c r="F318">
        <v>204.9</v>
      </c>
      <c r="G318">
        <v>175.4</v>
      </c>
      <c r="H318">
        <v>159.6</v>
      </c>
      <c r="I318">
        <v>175.8</v>
      </c>
      <c r="J318">
        <v>160.30000000000001</v>
      </c>
      <c r="K318">
        <v>229.1</v>
      </c>
      <c r="L318">
        <v>165.1</v>
      </c>
      <c r="M318">
        <v>123.1</v>
      </c>
      <c r="N318">
        <v>167.2</v>
      </c>
      <c r="O318">
        <v>156.1</v>
      </c>
      <c r="P318">
        <v>176.8</v>
      </c>
      <c r="Q318">
        <v>173.5</v>
      </c>
      <c r="R318">
        <v>197</v>
      </c>
      <c r="S318">
        <v>162.30000000000001</v>
      </c>
      <c r="T318">
        <v>145.30000000000001</v>
      </c>
      <c r="U318">
        <v>159.69999999999999</v>
      </c>
      <c r="V318">
        <v>164.2</v>
      </c>
      <c r="W318">
        <v>161.6</v>
      </c>
      <c r="X318">
        <v>155.19999999999999</v>
      </c>
      <c r="Y318">
        <v>164.2</v>
      </c>
      <c r="Z318">
        <v>151.19999999999999</v>
      </c>
      <c r="AA318">
        <v>156.69999999999999</v>
      </c>
      <c r="AB318">
        <v>160.80000000000001</v>
      </c>
      <c r="AC318">
        <v>161.80000000000001</v>
      </c>
      <c r="AD318">
        <v>157.30000000000001</v>
      </c>
      <c r="AE318">
        <v>165.6</v>
      </c>
    </row>
    <row r="319" spans="1:31" x14ac:dyDescent="0.3">
      <c r="A319" t="s">
        <v>49</v>
      </c>
      <c r="B319">
        <v>2021</v>
      </c>
      <c r="C319" t="s">
        <v>60</v>
      </c>
      <c r="D319" t="str">
        <f>_xlfn.CONCAT(All_India_Index_Upto_April23__1___1[[#This Row],[Year]],"-",All_India_Index_Upto_April23__1___1[[#This Row],[Month]])</f>
        <v>2021-November</v>
      </c>
      <c r="E319">
        <v>148.19999999999999</v>
      </c>
      <c r="F319">
        <v>201.6</v>
      </c>
      <c r="G319">
        <v>173</v>
      </c>
      <c r="H319">
        <v>159.30000000000001</v>
      </c>
      <c r="I319">
        <v>190.1</v>
      </c>
      <c r="J319">
        <v>156.5</v>
      </c>
      <c r="K319">
        <v>199.2</v>
      </c>
      <c r="L319">
        <v>165.3</v>
      </c>
      <c r="M319">
        <v>122.4</v>
      </c>
      <c r="N319">
        <v>169.6</v>
      </c>
      <c r="O319">
        <v>163.69999999999999</v>
      </c>
      <c r="P319">
        <v>175.5</v>
      </c>
      <c r="Q319">
        <v>169.7</v>
      </c>
      <c r="R319">
        <v>192.9</v>
      </c>
      <c r="S319">
        <v>167.2</v>
      </c>
      <c r="T319">
        <v>157.4</v>
      </c>
      <c r="U319">
        <v>165.8</v>
      </c>
      <c r="V319">
        <v>164.2</v>
      </c>
      <c r="W319">
        <v>163.9</v>
      </c>
      <c r="X319">
        <v>159.30000000000001</v>
      </c>
      <c r="Y319">
        <v>169.9</v>
      </c>
      <c r="Z319">
        <v>154.80000000000001</v>
      </c>
      <c r="AA319">
        <v>159.80000000000001</v>
      </c>
      <c r="AB319">
        <v>164.3</v>
      </c>
      <c r="AC319">
        <v>162.19999999999999</v>
      </c>
      <c r="AD319">
        <v>161.4</v>
      </c>
      <c r="AE319">
        <v>166.7</v>
      </c>
    </row>
    <row r="320" spans="1:31" x14ac:dyDescent="0.3">
      <c r="A320" t="s">
        <v>46</v>
      </c>
      <c r="B320">
        <v>2021</v>
      </c>
      <c r="C320" t="s">
        <v>61</v>
      </c>
      <c r="D320" t="str">
        <f>_xlfn.CONCAT(All_India_Index_Upto_April23__1___1[[#This Row],[Year]],"-",All_India_Index_Upto_April23__1___1[[#This Row],[Month]])</f>
        <v>2021-December</v>
      </c>
      <c r="E320">
        <v>147.4</v>
      </c>
      <c r="F320">
        <v>197</v>
      </c>
      <c r="G320">
        <v>176.5</v>
      </c>
      <c r="H320">
        <v>159.80000000000001</v>
      </c>
      <c r="I320">
        <v>195.8</v>
      </c>
      <c r="J320">
        <v>152</v>
      </c>
      <c r="K320">
        <v>172.3</v>
      </c>
      <c r="L320">
        <v>164.5</v>
      </c>
      <c r="M320">
        <v>120.6</v>
      </c>
      <c r="N320">
        <v>171.7</v>
      </c>
      <c r="O320">
        <v>169.7</v>
      </c>
      <c r="P320">
        <v>175.1</v>
      </c>
      <c r="Q320">
        <v>165.8</v>
      </c>
      <c r="R320">
        <v>190.8</v>
      </c>
      <c r="S320">
        <v>171.8</v>
      </c>
      <c r="T320">
        <v>167.3</v>
      </c>
      <c r="U320">
        <v>171.2</v>
      </c>
      <c r="V320">
        <v>163.4</v>
      </c>
      <c r="W320">
        <v>165.6</v>
      </c>
      <c r="X320">
        <v>163.9</v>
      </c>
      <c r="Y320">
        <v>174</v>
      </c>
      <c r="Z320">
        <v>160.1</v>
      </c>
      <c r="AA320">
        <v>164.5</v>
      </c>
      <c r="AB320">
        <v>169.7</v>
      </c>
      <c r="AC320">
        <v>162.80000000000001</v>
      </c>
      <c r="AD320">
        <v>166</v>
      </c>
      <c r="AE320">
        <v>167</v>
      </c>
    </row>
    <row r="321" spans="1:31" x14ac:dyDescent="0.3">
      <c r="A321" t="s">
        <v>48</v>
      </c>
      <c r="B321">
        <v>2021</v>
      </c>
      <c r="C321" t="s">
        <v>61</v>
      </c>
      <c r="D321" t="str">
        <f>_xlfn.CONCAT(All_India_Index_Upto_April23__1___1[[#This Row],[Year]],"-",All_India_Index_Upto_April23__1___1[[#This Row],[Month]])</f>
        <v>2021-December</v>
      </c>
      <c r="E321">
        <v>151.6</v>
      </c>
      <c r="F321">
        <v>202.2</v>
      </c>
      <c r="G321">
        <v>180</v>
      </c>
      <c r="H321">
        <v>160</v>
      </c>
      <c r="I321">
        <v>173.5</v>
      </c>
      <c r="J321">
        <v>158.30000000000001</v>
      </c>
      <c r="K321">
        <v>219.5</v>
      </c>
      <c r="L321">
        <v>164.2</v>
      </c>
      <c r="M321">
        <v>121.9</v>
      </c>
      <c r="N321">
        <v>168.2</v>
      </c>
      <c r="O321">
        <v>156.5</v>
      </c>
      <c r="P321">
        <v>178.2</v>
      </c>
      <c r="Q321">
        <v>172.2</v>
      </c>
      <c r="R321">
        <v>196.8</v>
      </c>
      <c r="S321">
        <v>163.30000000000001</v>
      </c>
      <c r="T321">
        <v>146.69999999999999</v>
      </c>
      <c r="U321">
        <v>160.69999999999999</v>
      </c>
      <c r="V321">
        <v>163.4</v>
      </c>
      <c r="W321">
        <v>161.69999999999999</v>
      </c>
      <c r="X321">
        <v>156</v>
      </c>
      <c r="Y321">
        <v>165.1</v>
      </c>
      <c r="Z321">
        <v>151.80000000000001</v>
      </c>
      <c r="AA321">
        <v>157.6</v>
      </c>
      <c r="AB321">
        <v>160.6</v>
      </c>
      <c r="AC321">
        <v>162.4</v>
      </c>
      <c r="AD321">
        <v>157.80000000000001</v>
      </c>
      <c r="AE321">
        <v>165.2</v>
      </c>
    </row>
    <row r="322" spans="1:31" x14ac:dyDescent="0.3">
      <c r="A322" t="s">
        <v>49</v>
      </c>
      <c r="B322">
        <v>2021</v>
      </c>
      <c r="C322" t="s">
        <v>61</v>
      </c>
      <c r="D322" t="str">
        <f>_xlfn.CONCAT(All_India_Index_Upto_April23__1___1[[#This Row],[Year]],"-",All_India_Index_Upto_April23__1___1[[#This Row],[Month]])</f>
        <v>2021-December</v>
      </c>
      <c r="E322">
        <v>148.69999999999999</v>
      </c>
      <c r="F322">
        <v>198.8</v>
      </c>
      <c r="G322">
        <v>177.9</v>
      </c>
      <c r="H322">
        <v>159.9</v>
      </c>
      <c r="I322">
        <v>187.6</v>
      </c>
      <c r="J322">
        <v>154.9</v>
      </c>
      <c r="K322">
        <v>188.3</v>
      </c>
      <c r="L322">
        <v>164.4</v>
      </c>
      <c r="M322">
        <v>121</v>
      </c>
      <c r="N322">
        <v>170.5</v>
      </c>
      <c r="O322">
        <v>164.2</v>
      </c>
      <c r="P322">
        <v>176.5</v>
      </c>
      <c r="Q322">
        <v>168.2</v>
      </c>
      <c r="R322">
        <v>192.4</v>
      </c>
      <c r="S322">
        <v>168.5</v>
      </c>
      <c r="T322">
        <v>158.69999999999999</v>
      </c>
      <c r="U322">
        <v>167</v>
      </c>
      <c r="V322">
        <v>163.4</v>
      </c>
      <c r="W322">
        <v>164.1</v>
      </c>
      <c r="X322">
        <v>160.19999999999999</v>
      </c>
      <c r="Y322">
        <v>170.6</v>
      </c>
      <c r="Z322">
        <v>155.69999999999999</v>
      </c>
      <c r="AA322">
        <v>160.6</v>
      </c>
      <c r="AB322">
        <v>164.4</v>
      </c>
      <c r="AC322">
        <v>162.6</v>
      </c>
      <c r="AD322">
        <v>162</v>
      </c>
      <c r="AE322">
        <v>166.2</v>
      </c>
    </row>
    <row r="323" spans="1:31" x14ac:dyDescent="0.3">
      <c r="A323" t="s">
        <v>46</v>
      </c>
      <c r="B323">
        <v>2022</v>
      </c>
      <c r="C323" t="s">
        <v>47</v>
      </c>
      <c r="D323" t="str">
        <f>_xlfn.CONCAT(All_India_Index_Upto_April23__1___1[[#This Row],[Year]],"-",All_India_Index_Upto_April23__1___1[[#This Row],[Month]])</f>
        <v>2022-January</v>
      </c>
      <c r="E323">
        <v>148.30000000000001</v>
      </c>
      <c r="F323">
        <v>196.9</v>
      </c>
      <c r="G323">
        <v>178</v>
      </c>
      <c r="H323">
        <v>160.5</v>
      </c>
      <c r="I323">
        <v>192.6</v>
      </c>
      <c r="J323">
        <v>151.19999999999999</v>
      </c>
      <c r="K323">
        <v>159.19999999999999</v>
      </c>
      <c r="L323">
        <v>164</v>
      </c>
      <c r="M323">
        <v>119.3</v>
      </c>
      <c r="N323">
        <v>173.3</v>
      </c>
      <c r="O323">
        <v>169.8</v>
      </c>
      <c r="P323">
        <v>175.8</v>
      </c>
      <c r="Q323">
        <v>164.1</v>
      </c>
      <c r="R323">
        <v>190.7</v>
      </c>
      <c r="S323">
        <v>173.2</v>
      </c>
      <c r="T323">
        <v>169.3</v>
      </c>
      <c r="U323">
        <v>172.7</v>
      </c>
      <c r="V323">
        <v>164.5</v>
      </c>
      <c r="W323">
        <v>165.8</v>
      </c>
      <c r="X323">
        <v>164.9</v>
      </c>
      <c r="Y323">
        <v>174.7</v>
      </c>
      <c r="Z323">
        <v>160.80000000000001</v>
      </c>
      <c r="AA323">
        <v>164.9</v>
      </c>
      <c r="AB323">
        <v>169.9</v>
      </c>
      <c r="AC323">
        <v>163.19999999999999</v>
      </c>
      <c r="AD323">
        <v>166.6</v>
      </c>
      <c r="AE323">
        <v>166.4</v>
      </c>
    </row>
    <row r="324" spans="1:31" x14ac:dyDescent="0.3">
      <c r="A324" t="s">
        <v>48</v>
      </c>
      <c r="B324">
        <v>2022</v>
      </c>
      <c r="C324" t="s">
        <v>47</v>
      </c>
      <c r="D324" t="str">
        <f>_xlfn.CONCAT(All_India_Index_Upto_April23__1___1[[#This Row],[Year]],"-",All_India_Index_Upto_April23__1___1[[#This Row],[Month]])</f>
        <v>2022-January</v>
      </c>
      <c r="E324">
        <v>152.19999999999999</v>
      </c>
      <c r="F324">
        <v>202.1</v>
      </c>
      <c r="G324">
        <v>180.1</v>
      </c>
      <c r="H324">
        <v>160.4</v>
      </c>
      <c r="I324">
        <v>171</v>
      </c>
      <c r="J324">
        <v>156.5</v>
      </c>
      <c r="K324">
        <v>203.6</v>
      </c>
      <c r="L324">
        <v>163.80000000000001</v>
      </c>
      <c r="M324">
        <v>121.3</v>
      </c>
      <c r="N324">
        <v>169.8</v>
      </c>
      <c r="O324">
        <v>156.6</v>
      </c>
      <c r="P324">
        <v>179</v>
      </c>
      <c r="Q324">
        <v>170.3</v>
      </c>
      <c r="R324">
        <v>196.4</v>
      </c>
      <c r="S324">
        <v>164.7</v>
      </c>
      <c r="T324">
        <v>148.5</v>
      </c>
      <c r="U324">
        <v>162.19999999999999</v>
      </c>
      <c r="V324">
        <v>164.5</v>
      </c>
      <c r="W324">
        <v>161.6</v>
      </c>
      <c r="X324">
        <v>156.80000000000001</v>
      </c>
      <c r="Y324">
        <v>166.1</v>
      </c>
      <c r="Z324">
        <v>152.69999999999999</v>
      </c>
      <c r="AA324">
        <v>158.4</v>
      </c>
      <c r="AB324">
        <v>161</v>
      </c>
      <c r="AC324">
        <v>162.80000000000001</v>
      </c>
      <c r="AD324">
        <v>158.6</v>
      </c>
      <c r="AE324">
        <v>165</v>
      </c>
    </row>
    <row r="325" spans="1:31" x14ac:dyDescent="0.3">
      <c r="A325" t="s">
        <v>49</v>
      </c>
      <c r="B325">
        <v>2022</v>
      </c>
      <c r="C325" t="s">
        <v>47</v>
      </c>
      <c r="D325" t="str">
        <f>_xlfn.CONCAT(All_India_Index_Upto_April23__1___1[[#This Row],[Year]],"-",All_India_Index_Upto_April23__1___1[[#This Row],[Month]])</f>
        <v>2022-January</v>
      </c>
      <c r="E325">
        <v>149.5</v>
      </c>
      <c r="F325">
        <v>198.7</v>
      </c>
      <c r="G325">
        <v>178.8</v>
      </c>
      <c r="H325">
        <v>160.5</v>
      </c>
      <c r="I325">
        <v>184.7</v>
      </c>
      <c r="J325">
        <v>153.69999999999999</v>
      </c>
      <c r="K325">
        <v>174.3</v>
      </c>
      <c r="L325">
        <v>163.9</v>
      </c>
      <c r="M325">
        <v>120</v>
      </c>
      <c r="N325">
        <v>172.1</v>
      </c>
      <c r="O325">
        <v>164.3</v>
      </c>
      <c r="P325">
        <v>177.3</v>
      </c>
      <c r="Q325">
        <v>166.4</v>
      </c>
      <c r="R325">
        <v>192.2</v>
      </c>
      <c r="S325">
        <v>169.9</v>
      </c>
      <c r="T325">
        <v>160.69999999999999</v>
      </c>
      <c r="U325">
        <v>168.5</v>
      </c>
      <c r="V325">
        <v>164.5</v>
      </c>
      <c r="W325">
        <v>164.2</v>
      </c>
      <c r="X325">
        <v>161.1</v>
      </c>
      <c r="Y325">
        <v>171.4</v>
      </c>
      <c r="Z325">
        <v>156.5</v>
      </c>
      <c r="AA325">
        <v>161.19999999999999</v>
      </c>
      <c r="AB325">
        <v>164.7</v>
      </c>
      <c r="AC325">
        <v>163</v>
      </c>
      <c r="AD325">
        <v>162.69999999999999</v>
      </c>
      <c r="AE325">
        <v>165.7</v>
      </c>
    </row>
    <row r="326" spans="1:31" x14ac:dyDescent="0.3">
      <c r="A326" t="s">
        <v>46</v>
      </c>
      <c r="B326">
        <v>2022</v>
      </c>
      <c r="C326" t="s">
        <v>50</v>
      </c>
      <c r="D326" t="str">
        <f>_xlfn.CONCAT(All_India_Index_Upto_April23__1___1[[#This Row],[Year]],"-",All_India_Index_Upto_April23__1___1[[#This Row],[Month]])</f>
        <v>2022-February</v>
      </c>
      <c r="E326">
        <v>148.80000000000001</v>
      </c>
      <c r="F326">
        <v>198.1</v>
      </c>
      <c r="G326">
        <v>175.5</v>
      </c>
      <c r="H326">
        <v>160.69999999999999</v>
      </c>
      <c r="I326">
        <v>192.6</v>
      </c>
      <c r="J326">
        <v>151.4</v>
      </c>
      <c r="K326">
        <v>155.19999999999999</v>
      </c>
      <c r="L326">
        <v>163.9</v>
      </c>
      <c r="M326">
        <v>118.1</v>
      </c>
      <c r="N326">
        <v>175.4</v>
      </c>
      <c r="O326">
        <v>170.5</v>
      </c>
      <c r="P326">
        <v>176.3</v>
      </c>
      <c r="Q326">
        <v>163.9</v>
      </c>
      <c r="R326">
        <v>191.5</v>
      </c>
      <c r="S326">
        <v>174.1</v>
      </c>
      <c r="T326">
        <v>171</v>
      </c>
      <c r="U326">
        <v>173.7</v>
      </c>
      <c r="V326">
        <v>165.5</v>
      </c>
      <c r="W326">
        <v>167.4</v>
      </c>
      <c r="X326">
        <v>165.7</v>
      </c>
      <c r="Y326">
        <v>175.3</v>
      </c>
      <c r="Z326">
        <v>161.19999999999999</v>
      </c>
      <c r="AA326">
        <v>165.5</v>
      </c>
      <c r="AB326">
        <v>170.3</v>
      </c>
      <c r="AC326">
        <v>164.5</v>
      </c>
      <c r="AD326">
        <v>167.3</v>
      </c>
      <c r="AE326">
        <v>166.7</v>
      </c>
    </row>
    <row r="327" spans="1:31" x14ac:dyDescent="0.3">
      <c r="A327" t="s">
        <v>48</v>
      </c>
      <c r="B327">
        <v>2022</v>
      </c>
      <c r="C327" t="s">
        <v>50</v>
      </c>
      <c r="D327" t="str">
        <f>_xlfn.CONCAT(All_India_Index_Upto_April23__1___1[[#This Row],[Year]],"-",All_India_Index_Upto_April23__1___1[[#This Row],[Month]])</f>
        <v>2022-February</v>
      </c>
      <c r="E327">
        <v>152.5</v>
      </c>
      <c r="F327">
        <v>205.2</v>
      </c>
      <c r="G327">
        <v>176.4</v>
      </c>
      <c r="H327">
        <v>160.6</v>
      </c>
      <c r="I327">
        <v>171.5</v>
      </c>
      <c r="J327">
        <v>156.4</v>
      </c>
      <c r="K327">
        <v>198</v>
      </c>
      <c r="L327">
        <v>163.19999999999999</v>
      </c>
      <c r="M327">
        <v>120.6</v>
      </c>
      <c r="N327">
        <v>172.2</v>
      </c>
      <c r="O327">
        <v>156.69999999999999</v>
      </c>
      <c r="P327">
        <v>180</v>
      </c>
      <c r="Q327">
        <v>170.2</v>
      </c>
      <c r="R327">
        <v>196.5</v>
      </c>
      <c r="S327">
        <v>165.7</v>
      </c>
      <c r="T327">
        <v>150.4</v>
      </c>
      <c r="U327">
        <v>163.4</v>
      </c>
      <c r="V327">
        <v>165.5</v>
      </c>
      <c r="W327">
        <v>163</v>
      </c>
      <c r="X327">
        <v>157.4</v>
      </c>
      <c r="Y327">
        <v>167.2</v>
      </c>
      <c r="Z327">
        <v>153.1</v>
      </c>
      <c r="AA327">
        <v>159.5</v>
      </c>
      <c r="AB327">
        <v>162</v>
      </c>
      <c r="AC327">
        <v>164.2</v>
      </c>
      <c r="AD327">
        <v>159.4</v>
      </c>
      <c r="AE327">
        <v>165.5</v>
      </c>
    </row>
    <row r="328" spans="1:31" x14ac:dyDescent="0.3">
      <c r="A328" t="s">
        <v>49</v>
      </c>
      <c r="B328">
        <v>2022</v>
      </c>
      <c r="C328" t="s">
        <v>50</v>
      </c>
      <c r="D328" t="str">
        <f>_xlfn.CONCAT(All_India_Index_Upto_April23__1___1[[#This Row],[Year]],"-",All_India_Index_Upto_April23__1___1[[#This Row],[Month]])</f>
        <v>2022-February</v>
      </c>
      <c r="E328">
        <v>150</v>
      </c>
      <c r="F328">
        <v>200.6</v>
      </c>
      <c r="G328">
        <v>175.8</v>
      </c>
      <c r="H328">
        <v>160.69999999999999</v>
      </c>
      <c r="I328">
        <v>184.9</v>
      </c>
      <c r="J328">
        <v>153.69999999999999</v>
      </c>
      <c r="K328">
        <v>169.7</v>
      </c>
      <c r="L328">
        <v>163.69999999999999</v>
      </c>
      <c r="M328">
        <v>118.9</v>
      </c>
      <c r="N328">
        <v>174.3</v>
      </c>
      <c r="O328">
        <v>164.7</v>
      </c>
      <c r="P328">
        <v>178</v>
      </c>
      <c r="Q328">
        <v>166.2</v>
      </c>
      <c r="R328">
        <v>192.8</v>
      </c>
      <c r="S328">
        <v>170.8</v>
      </c>
      <c r="T328">
        <v>162.4</v>
      </c>
      <c r="U328">
        <v>169.6</v>
      </c>
      <c r="V328">
        <v>165.5</v>
      </c>
      <c r="W328">
        <v>165.7</v>
      </c>
      <c r="X328">
        <v>161.80000000000001</v>
      </c>
      <c r="Y328">
        <v>172.2</v>
      </c>
      <c r="Z328">
        <v>156.9</v>
      </c>
      <c r="AA328">
        <v>162.1</v>
      </c>
      <c r="AB328">
        <v>165.4</v>
      </c>
      <c r="AC328">
        <v>164.4</v>
      </c>
      <c r="AD328">
        <v>163.5</v>
      </c>
      <c r="AE328">
        <v>166.1</v>
      </c>
    </row>
    <row r="329" spans="1:31" x14ac:dyDescent="0.3">
      <c r="A329" t="s">
        <v>46</v>
      </c>
      <c r="B329">
        <v>2022</v>
      </c>
      <c r="C329" t="s">
        <v>51</v>
      </c>
      <c r="D329" t="str">
        <f>_xlfn.CONCAT(All_India_Index_Upto_April23__1___1[[#This Row],[Year]],"-",All_India_Index_Upto_April23__1___1[[#This Row],[Month]])</f>
        <v>2022-March</v>
      </c>
      <c r="E329">
        <v>150.19999999999999</v>
      </c>
      <c r="F329">
        <v>208</v>
      </c>
      <c r="G329">
        <v>167.9</v>
      </c>
      <c r="H329">
        <v>162</v>
      </c>
      <c r="I329">
        <v>203.1</v>
      </c>
      <c r="J329">
        <v>155.9</v>
      </c>
      <c r="K329">
        <v>155.80000000000001</v>
      </c>
      <c r="L329">
        <v>164.2</v>
      </c>
      <c r="M329">
        <v>118.1</v>
      </c>
      <c r="N329">
        <v>178.7</v>
      </c>
      <c r="O329">
        <v>171.2</v>
      </c>
      <c r="P329">
        <v>177.4</v>
      </c>
      <c r="Q329">
        <v>166.6</v>
      </c>
      <c r="R329">
        <v>192.3</v>
      </c>
      <c r="S329">
        <v>175.4</v>
      </c>
      <c r="T329">
        <v>173.2</v>
      </c>
      <c r="U329">
        <v>175.1</v>
      </c>
      <c r="V329">
        <v>165.3</v>
      </c>
      <c r="W329">
        <v>168.9</v>
      </c>
      <c r="X329">
        <v>166.5</v>
      </c>
      <c r="Y329">
        <v>176</v>
      </c>
      <c r="Z329">
        <v>162</v>
      </c>
      <c r="AA329">
        <v>166.6</v>
      </c>
      <c r="AB329">
        <v>170.6</v>
      </c>
      <c r="AC329">
        <v>167.4</v>
      </c>
      <c r="AD329">
        <v>168.3</v>
      </c>
      <c r="AE329">
        <v>168.7</v>
      </c>
    </row>
    <row r="330" spans="1:31" x14ac:dyDescent="0.3">
      <c r="A330" t="s">
        <v>48</v>
      </c>
      <c r="B330">
        <v>2022</v>
      </c>
      <c r="C330" t="s">
        <v>51</v>
      </c>
      <c r="D330" t="str">
        <f>_xlfn.CONCAT(All_India_Index_Upto_April23__1___1[[#This Row],[Year]],"-",All_India_Index_Upto_April23__1___1[[#This Row],[Month]])</f>
        <v>2022-March</v>
      </c>
      <c r="E330">
        <v>153.69999999999999</v>
      </c>
      <c r="F330">
        <v>215.8</v>
      </c>
      <c r="G330">
        <v>167.7</v>
      </c>
      <c r="H330">
        <v>162.6</v>
      </c>
      <c r="I330">
        <v>180</v>
      </c>
      <c r="J330">
        <v>159.6</v>
      </c>
      <c r="K330">
        <v>188.4</v>
      </c>
      <c r="L330">
        <v>163.4</v>
      </c>
      <c r="M330">
        <v>120.3</v>
      </c>
      <c r="N330">
        <v>174.7</v>
      </c>
      <c r="O330">
        <v>157.1</v>
      </c>
      <c r="P330">
        <v>181.5</v>
      </c>
      <c r="Q330">
        <v>171.5</v>
      </c>
      <c r="R330">
        <v>197.5</v>
      </c>
      <c r="S330">
        <v>167.1</v>
      </c>
      <c r="T330">
        <v>152.6</v>
      </c>
      <c r="U330">
        <v>164.9</v>
      </c>
      <c r="V330">
        <v>165.3</v>
      </c>
      <c r="W330">
        <v>164.5</v>
      </c>
      <c r="X330">
        <v>158.6</v>
      </c>
      <c r="Y330">
        <v>168.2</v>
      </c>
      <c r="Z330">
        <v>154.19999999999999</v>
      </c>
      <c r="AA330">
        <v>160.80000000000001</v>
      </c>
      <c r="AB330">
        <v>162.69999999999999</v>
      </c>
      <c r="AC330">
        <v>166.8</v>
      </c>
      <c r="AD330">
        <v>160.6</v>
      </c>
      <c r="AE330">
        <v>166.5</v>
      </c>
    </row>
    <row r="331" spans="1:31" x14ac:dyDescent="0.3">
      <c r="A331" t="s">
        <v>49</v>
      </c>
      <c r="B331">
        <v>2022</v>
      </c>
      <c r="C331" t="s">
        <v>51</v>
      </c>
      <c r="D331" t="str">
        <f>_xlfn.CONCAT(All_India_Index_Upto_April23__1___1[[#This Row],[Year]],"-",All_India_Index_Upto_April23__1___1[[#This Row],[Month]])</f>
        <v>2022-March</v>
      </c>
      <c r="E331">
        <v>151.30000000000001</v>
      </c>
      <c r="F331">
        <v>210.7</v>
      </c>
      <c r="G331">
        <v>167.8</v>
      </c>
      <c r="H331">
        <v>162.19999999999999</v>
      </c>
      <c r="I331">
        <v>194.6</v>
      </c>
      <c r="J331">
        <v>157.6</v>
      </c>
      <c r="K331">
        <v>166.9</v>
      </c>
      <c r="L331">
        <v>163.9</v>
      </c>
      <c r="M331">
        <v>118.8</v>
      </c>
      <c r="N331">
        <v>177.4</v>
      </c>
      <c r="O331">
        <v>165.3</v>
      </c>
      <c r="P331">
        <v>179.3</v>
      </c>
      <c r="Q331">
        <v>168.4</v>
      </c>
      <c r="R331">
        <v>193.7</v>
      </c>
      <c r="S331">
        <v>172.1</v>
      </c>
      <c r="T331">
        <v>164.6</v>
      </c>
      <c r="U331">
        <v>171.1</v>
      </c>
      <c r="V331">
        <v>165.3</v>
      </c>
      <c r="W331">
        <v>167.2</v>
      </c>
      <c r="X331">
        <v>162.80000000000001</v>
      </c>
      <c r="Y331">
        <v>173</v>
      </c>
      <c r="Z331">
        <v>157.9</v>
      </c>
      <c r="AA331">
        <v>163.30000000000001</v>
      </c>
      <c r="AB331">
        <v>166</v>
      </c>
      <c r="AC331">
        <v>167.2</v>
      </c>
      <c r="AD331">
        <v>164.6</v>
      </c>
      <c r="AE331">
        <v>167.7</v>
      </c>
    </row>
    <row r="332" spans="1:31" x14ac:dyDescent="0.3">
      <c r="A332" t="s">
        <v>46</v>
      </c>
      <c r="B332">
        <v>2022</v>
      </c>
      <c r="C332" t="s">
        <v>52</v>
      </c>
      <c r="D332" t="str">
        <f>_xlfn.CONCAT(All_India_Index_Upto_April23__1___1[[#This Row],[Year]],"-",All_India_Index_Upto_April23__1___1[[#This Row],[Month]])</f>
        <v>2022-April</v>
      </c>
      <c r="E332">
        <v>151.80000000000001</v>
      </c>
      <c r="F332">
        <v>209.7</v>
      </c>
      <c r="G332">
        <v>164.5</v>
      </c>
      <c r="H332">
        <v>163.80000000000001</v>
      </c>
      <c r="I332">
        <v>207.4</v>
      </c>
      <c r="J332">
        <v>169.7</v>
      </c>
      <c r="K332">
        <v>153.6</v>
      </c>
      <c r="L332">
        <v>165.1</v>
      </c>
      <c r="M332">
        <v>118.2</v>
      </c>
      <c r="N332">
        <v>182.9</v>
      </c>
      <c r="O332">
        <v>172.4</v>
      </c>
      <c r="P332">
        <v>178.9</v>
      </c>
      <c r="Q332">
        <v>168.6</v>
      </c>
      <c r="R332">
        <v>192.8</v>
      </c>
      <c r="S332">
        <v>177.5</v>
      </c>
      <c r="T332">
        <v>175.1</v>
      </c>
      <c r="U332">
        <v>177.1</v>
      </c>
      <c r="V332">
        <v>167</v>
      </c>
      <c r="W332">
        <v>173.3</v>
      </c>
      <c r="X332">
        <v>167.7</v>
      </c>
      <c r="Y332">
        <v>177</v>
      </c>
      <c r="Z332">
        <v>166.2</v>
      </c>
      <c r="AA332">
        <v>167.2</v>
      </c>
      <c r="AB332">
        <v>170.9</v>
      </c>
      <c r="AC332">
        <v>169</v>
      </c>
      <c r="AD332">
        <v>170.2</v>
      </c>
      <c r="AE332">
        <v>170.8</v>
      </c>
    </row>
    <row r="333" spans="1:31" x14ac:dyDescent="0.3">
      <c r="A333" t="s">
        <v>48</v>
      </c>
      <c r="B333">
        <v>2022</v>
      </c>
      <c r="C333" t="s">
        <v>52</v>
      </c>
      <c r="D333" t="str">
        <f>_xlfn.CONCAT(All_India_Index_Upto_April23__1___1[[#This Row],[Year]],"-",All_India_Index_Upto_April23__1___1[[#This Row],[Month]])</f>
        <v>2022-April</v>
      </c>
      <c r="E333">
        <v>155.4</v>
      </c>
      <c r="F333">
        <v>215.8</v>
      </c>
      <c r="G333">
        <v>164.6</v>
      </c>
      <c r="H333">
        <v>164.2</v>
      </c>
      <c r="I333">
        <v>186</v>
      </c>
      <c r="J333">
        <v>175.9</v>
      </c>
      <c r="K333">
        <v>190.7</v>
      </c>
      <c r="L333">
        <v>164</v>
      </c>
      <c r="M333">
        <v>120.5</v>
      </c>
      <c r="N333">
        <v>178</v>
      </c>
      <c r="O333">
        <v>157.5</v>
      </c>
      <c r="P333">
        <v>183.3</v>
      </c>
      <c r="Q333">
        <v>174.5</v>
      </c>
      <c r="R333">
        <v>197.1</v>
      </c>
      <c r="S333">
        <v>168.4</v>
      </c>
      <c r="T333">
        <v>154.5</v>
      </c>
      <c r="U333">
        <v>166.3</v>
      </c>
      <c r="V333">
        <v>167</v>
      </c>
      <c r="W333">
        <v>170.5</v>
      </c>
      <c r="X333">
        <v>159.80000000000001</v>
      </c>
      <c r="Y333">
        <v>169</v>
      </c>
      <c r="Z333">
        <v>159.30000000000001</v>
      </c>
      <c r="AA333">
        <v>162.19999999999999</v>
      </c>
      <c r="AB333">
        <v>164</v>
      </c>
      <c r="AC333">
        <v>168.4</v>
      </c>
      <c r="AD333">
        <v>163.1</v>
      </c>
      <c r="AE333">
        <v>169.2</v>
      </c>
    </row>
    <row r="334" spans="1:31" x14ac:dyDescent="0.3">
      <c r="A334" t="s">
        <v>49</v>
      </c>
      <c r="B334">
        <v>2022</v>
      </c>
      <c r="C334" t="s">
        <v>52</v>
      </c>
      <c r="D334" t="str">
        <f>_xlfn.CONCAT(All_India_Index_Upto_April23__1___1[[#This Row],[Year]],"-",All_India_Index_Upto_April23__1___1[[#This Row],[Month]])</f>
        <v>2022-April</v>
      </c>
      <c r="E334">
        <v>152.9</v>
      </c>
      <c r="F334">
        <v>211.8</v>
      </c>
      <c r="G334">
        <v>164.5</v>
      </c>
      <c r="H334">
        <v>163.9</v>
      </c>
      <c r="I334">
        <v>199.5</v>
      </c>
      <c r="J334">
        <v>172.6</v>
      </c>
      <c r="K334">
        <v>166.2</v>
      </c>
      <c r="L334">
        <v>164.7</v>
      </c>
      <c r="M334">
        <v>119</v>
      </c>
      <c r="N334">
        <v>181.3</v>
      </c>
      <c r="O334">
        <v>166.2</v>
      </c>
      <c r="P334">
        <v>180.9</v>
      </c>
      <c r="Q334">
        <v>170.8</v>
      </c>
      <c r="R334">
        <v>193.9</v>
      </c>
      <c r="S334">
        <v>173.9</v>
      </c>
      <c r="T334">
        <v>166.5</v>
      </c>
      <c r="U334">
        <v>172.8</v>
      </c>
      <c r="V334">
        <v>167</v>
      </c>
      <c r="W334">
        <v>172.2</v>
      </c>
      <c r="X334">
        <v>164</v>
      </c>
      <c r="Y334">
        <v>174</v>
      </c>
      <c r="Z334">
        <v>162.6</v>
      </c>
      <c r="AA334">
        <v>164.4</v>
      </c>
      <c r="AB334">
        <v>166.9</v>
      </c>
      <c r="AC334">
        <v>168.8</v>
      </c>
      <c r="AD334">
        <v>166.8</v>
      </c>
      <c r="AE334">
        <v>170.1</v>
      </c>
    </row>
    <row r="335" spans="1:31" x14ac:dyDescent="0.3">
      <c r="A335" t="s">
        <v>46</v>
      </c>
      <c r="B335">
        <v>2022</v>
      </c>
      <c r="C335" t="s">
        <v>53</v>
      </c>
      <c r="D335" t="str">
        <f>_xlfn.CONCAT(All_India_Index_Upto_April23__1___1[[#This Row],[Year]],"-",All_India_Index_Upto_April23__1___1[[#This Row],[Month]])</f>
        <v>2022-May</v>
      </c>
      <c r="E335">
        <v>152.9</v>
      </c>
      <c r="F335">
        <v>214.7</v>
      </c>
      <c r="G335">
        <v>161.4</v>
      </c>
      <c r="H335">
        <v>164.6</v>
      </c>
      <c r="I335">
        <v>209.9</v>
      </c>
      <c r="J335">
        <v>168</v>
      </c>
      <c r="K335">
        <v>160.4</v>
      </c>
      <c r="L335">
        <v>165</v>
      </c>
      <c r="M335">
        <v>118.9</v>
      </c>
      <c r="N335">
        <v>186.6</v>
      </c>
      <c r="O335">
        <v>173.2</v>
      </c>
      <c r="P335">
        <v>180.4</v>
      </c>
      <c r="Q335">
        <v>170.8</v>
      </c>
      <c r="R335">
        <v>192.9</v>
      </c>
      <c r="S335">
        <v>179.3</v>
      </c>
      <c r="T335">
        <v>177.2</v>
      </c>
      <c r="U335">
        <v>179</v>
      </c>
      <c r="V335">
        <v>167.5</v>
      </c>
      <c r="W335">
        <v>175.3</v>
      </c>
      <c r="X335">
        <v>168.9</v>
      </c>
      <c r="Y335">
        <v>177.7</v>
      </c>
      <c r="Z335">
        <v>167.1</v>
      </c>
      <c r="AA335">
        <v>167.6</v>
      </c>
      <c r="AB335">
        <v>171.8</v>
      </c>
      <c r="AC335">
        <v>168.5</v>
      </c>
      <c r="AD335">
        <v>170.9</v>
      </c>
      <c r="AE335">
        <v>172.5</v>
      </c>
    </row>
    <row r="336" spans="1:31" x14ac:dyDescent="0.3">
      <c r="A336" t="s">
        <v>48</v>
      </c>
      <c r="B336">
        <v>2022</v>
      </c>
      <c r="C336" t="s">
        <v>53</v>
      </c>
      <c r="D336" t="str">
        <f>_xlfn.CONCAT(All_India_Index_Upto_April23__1___1[[#This Row],[Year]],"-",All_India_Index_Upto_April23__1___1[[#This Row],[Month]])</f>
        <v>2022-May</v>
      </c>
      <c r="E336">
        <v>156.69999999999999</v>
      </c>
      <c r="F336">
        <v>221.2</v>
      </c>
      <c r="G336">
        <v>164.1</v>
      </c>
      <c r="H336">
        <v>165.4</v>
      </c>
      <c r="I336">
        <v>189.5</v>
      </c>
      <c r="J336">
        <v>174.5</v>
      </c>
      <c r="K336">
        <v>203.2</v>
      </c>
      <c r="L336">
        <v>164.1</v>
      </c>
      <c r="M336">
        <v>121.2</v>
      </c>
      <c r="N336">
        <v>181.4</v>
      </c>
      <c r="O336">
        <v>158.5</v>
      </c>
      <c r="P336">
        <v>184.9</v>
      </c>
      <c r="Q336">
        <v>177.5</v>
      </c>
      <c r="R336">
        <v>197.5</v>
      </c>
      <c r="S336">
        <v>170</v>
      </c>
      <c r="T336">
        <v>155.9</v>
      </c>
      <c r="U336">
        <v>167.8</v>
      </c>
      <c r="V336">
        <v>167.5</v>
      </c>
      <c r="W336">
        <v>173.5</v>
      </c>
      <c r="X336">
        <v>161.1</v>
      </c>
      <c r="Y336">
        <v>170.1</v>
      </c>
      <c r="Z336">
        <v>159.4</v>
      </c>
      <c r="AA336">
        <v>163.19999999999999</v>
      </c>
      <c r="AB336">
        <v>165.2</v>
      </c>
      <c r="AC336">
        <v>168.2</v>
      </c>
      <c r="AD336">
        <v>163.80000000000001</v>
      </c>
      <c r="AE336">
        <v>170.8</v>
      </c>
    </row>
    <row r="337" spans="1:31" x14ac:dyDescent="0.3">
      <c r="A337" t="s">
        <v>49</v>
      </c>
      <c r="B337">
        <v>2022</v>
      </c>
      <c r="C337" t="s">
        <v>53</v>
      </c>
      <c r="D337" t="str">
        <f>_xlfn.CONCAT(All_India_Index_Upto_April23__1___1[[#This Row],[Year]],"-",All_India_Index_Upto_April23__1___1[[#This Row],[Month]])</f>
        <v>2022-May</v>
      </c>
      <c r="E337">
        <v>154.1</v>
      </c>
      <c r="F337">
        <v>217</v>
      </c>
      <c r="G337">
        <v>162.4</v>
      </c>
      <c r="H337">
        <v>164.9</v>
      </c>
      <c r="I337">
        <v>202.4</v>
      </c>
      <c r="J337">
        <v>171</v>
      </c>
      <c r="K337">
        <v>174.9</v>
      </c>
      <c r="L337">
        <v>164.7</v>
      </c>
      <c r="M337">
        <v>119.7</v>
      </c>
      <c r="N337">
        <v>184.9</v>
      </c>
      <c r="O337">
        <v>167.1</v>
      </c>
      <c r="P337">
        <v>182.5</v>
      </c>
      <c r="Q337">
        <v>173.3</v>
      </c>
      <c r="R337">
        <v>194.1</v>
      </c>
      <c r="S337">
        <v>175.6</v>
      </c>
      <c r="T337">
        <v>168.4</v>
      </c>
      <c r="U337">
        <v>174.6</v>
      </c>
      <c r="V337">
        <v>167.5</v>
      </c>
      <c r="W337">
        <v>174.6</v>
      </c>
      <c r="X337">
        <v>165.2</v>
      </c>
      <c r="Y337">
        <v>174.8</v>
      </c>
      <c r="Z337">
        <v>163</v>
      </c>
      <c r="AA337">
        <v>165.1</v>
      </c>
      <c r="AB337">
        <v>167.9</v>
      </c>
      <c r="AC337">
        <v>168.4</v>
      </c>
      <c r="AD337">
        <v>167.5</v>
      </c>
      <c r="AE337">
        <v>171.7</v>
      </c>
    </row>
    <row r="338" spans="1:31" x14ac:dyDescent="0.3">
      <c r="A338" t="s">
        <v>46</v>
      </c>
      <c r="B338">
        <v>2022</v>
      </c>
      <c r="C338" t="s">
        <v>54</v>
      </c>
      <c r="D338" t="str">
        <f>_xlfn.CONCAT(All_India_Index_Upto_April23__1___1[[#This Row],[Year]],"-",All_India_Index_Upto_April23__1___1[[#This Row],[Month]])</f>
        <v>2022-June</v>
      </c>
      <c r="E338">
        <v>153.80000000000001</v>
      </c>
      <c r="F338">
        <v>217.2</v>
      </c>
      <c r="G338">
        <v>169.6</v>
      </c>
      <c r="H338">
        <v>165.4</v>
      </c>
      <c r="I338">
        <v>208.1</v>
      </c>
      <c r="J338">
        <v>165.8</v>
      </c>
      <c r="K338">
        <v>167.3</v>
      </c>
      <c r="L338">
        <v>164.6</v>
      </c>
      <c r="M338">
        <v>119.1</v>
      </c>
      <c r="N338">
        <v>188.9</v>
      </c>
      <c r="O338">
        <v>174.2</v>
      </c>
      <c r="P338">
        <v>181.9</v>
      </c>
      <c r="Q338">
        <v>172.4</v>
      </c>
      <c r="R338">
        <v>192.9</v>
      </c>
      <c r="S338">
        <v>180.7</v>
      </c>
      <c r="T338">
        <v>178.7</v>
      </c>
      <c r="U338">
        <v>180.4</v>
      </c>
      <c r="V338">
        <v>166.8</v>
      </c>
      <c r="W338">
        <v>176.7</v>
      </c>
      <c r="X338">
        <v>170.3</v>
      </c>
      <c r="Y338">
        <v>178.2</v>
      </c>
      <c r="Z338">
        <v>165.5</v>
      </c>
      <c r="AA338">
        <v>168</v>
      </c>
      <c r="AB338">
        <v>172.6</v>
      </c>
      <c r="AC338">
        <v>169.5</v>
      </c>
      <c r="AD338">
        <v>171</v>
      </c>
      <c r="AE338">
        <v>173.6</v>
      </c>
    </row>
    <row r="339" spans="1:31" x14ac:dyDescent="0.3">
      <c r="A339" t="s">
        <v>48</v>
      </c>
      <c r="B339">
        <v>2022</v>
      </c>
      <c r="C339" t="s">
        <v>54</v>
      </c>
      <c r="D339" t="str">
        <f>_xlfn.CONCAT(All_India_Index_Upto_April23__1___1[[#This Row],[Year]],"-",All_India_Index_Upto_April23__1___1[[#This Row],[Month]])</f>
        <v>2022-June</v>
      </c>
      <c r="E339">
        <v>157.5</v>
      </c>
      <c r="F339">
        <v>223.4</v>
      </c>
      <c r="G339">
        <v>172.8</v>
      </c>
      <c r="H339">
        <v>166.4</v>
      </c>
      <c r="I339">
        <v>188.6</v>
      </c>
      <c r="J339">
        <v>174.1</v>
      </c>
      <c r="K339">
        <v>211.5</v>
      </c>
      <c r="L339">
        <v>163.6</v>
      </c>
      <c r="M339">
        <v>121.4</v>
      </c>
      <c r="N339">
        <v>183.5</v>
      </c>
      <c r="O339">
        <v>159.1</v>
      </c>
      <c r="P339">
        <v>186.3</v>
      </c>
      <c r="Q339">
        <v>179.3</v>
      </c>
      <c r="R339">
        <v>198.3</v>
      </c>
      <c r="S339">
        <v>171.6</v>
      </c>
      <c r="T339">
        <v>157.4</v>
      </c>
      <c r="U339">
        <v>169.4</v>
      </c>
      <c r="V339">
        <v>166.8</v>
      </c>
      <c r="W339">
        <v>174.9</v>
      </c>
      <c r="X339">
        <v>162.1</v>
      </c>
      <c r="Y339">
        <v>170.9</v>
      </c>
      <c r="Z339">
        <v>157.19999999999999</v>
      </c>
      <c r="AA339">
        <v>164.1</v>
      </c>
      <c r="AB339">
        <v>166.5</v>
      </c>
      <c r="AC339">
        <v>169.2</v>
      </c>
      <c r="AD339">
        <v>163.80000000000001</v>
      </c>
      <c r="AE339">
        <v>171.4</v>
      </c>
    </row>
    <row r="340" spans="1:31" x14ac:dyDescent="0.3">
      <c r="A340" t="s">
        <v>49</v>
      </c>
      <c r="B340">
        <v>2022</v>
      </c>
      <c r="C340" t="s">
        <v>54</v>
      </c>
      <c r="D340" t="str">
        <f>_xlfn.CONCAT(All_India_Index_Upto_April23__1___1[[#This Row],[Year]],"-",All_India_Index_Upto_April23__1___1[[#This Row],[Month]])</f>
        <v>2022-June</v>
      </c>
      <c r="E340">
        <v>155</v>
      </c>
      <c r="F340">
        <v>219.4</v>
      </c>
      <c r="G340">
        <v>170.8</v>
      </c>
      <c r="H340">
        <v>165.8</v>
      </c>
      <c r="I340">
        <v>200.9</v>
      </c>
      <c r="J340">
        <v>169.7</v>
      </c>
      <c r="K340">
        <v>182.3</v>
      </c>
      <c r="L340">
        <v>164.3</v>
      </c>
      <c r="M340">
        <v>119.9</v>
      </c>
      <c r="N340">
        <v>187.1</v>
      </c>
      <c r="O340">
        <v>167.9</v>
      </c>
      <c r="P340">
        <v>183.9</v>
      </c>
      <c r="Q340">
        <v>174.9</v>
      </c>
      <c r="R340">
        <v>194.3</v>
      </c>
      <c r="S340">
        <v>177.1</v>
      </c>
      <c r="T340">
        <v>169.9</v>
      </c>
      <c r="U340">
        <v>176</v>
      </c>
      <c r="V340">
        <v>166.8</v>
      </c>
      <c r="W340">
        <v>176</v>
      </c>
      <c r="X340">
        <v>166.4</v>
      </c>
      <c r="Y340">
        <v>175.4</v>
      </c>
      <c r="Z340">
        <v>161.1</v>
      </c>
      <c r="AA340">
        <v>165.8</v>
      </c>
      <c r="AB340">
        <v>169</v>
      </c>
      <c r="AC340">
        <v>169.4</v>
      </c>
      <c r="AD340">
        <v>167.5</v>
      </c>
      <c r="AE340">
        <v>172.6</v>
      </c>
    </row>
    <row r="341" spans="1:31" x14ac:dyDescent="0.3">
      <c r="A341" t="s">
        <v>46</v>
      </c>
      <c r="B341">
        <v>2022</v>
      </c>
      <c r="C341" t="s">
        <v>55</v>
      </c>
      <c r="D341" t="str">
        <f>_xlfn.CONCAT(All_India_Index_Upto_April23__1___1[[#This Row],[Year]],"-",All_India_Index_Upto_April23__1___1[[#This Row],[Month]])</f>
        <v>2022-July</v>
      </c>
      <c r="E341">
        <v>155.19999999999999</v>
      </c>
      <c r="F341">
        <v>210.8</v>
      </c>
      <c r="G341">
        <v>174.3</v>
      </c>
      <c r="H341">
        <v>166.3</v>
      </c>
      <c r="I341">
        <v>202.2</v>
      </c>
      <c r="J341">
        <v>169.6</v>
      </c>
      <c r="K341">
        <v>168.6</v>
      </c>
      <c r="L341">
        <v>164.4</v>
      </c>
      <c r="M341">
        <v>119.2</v>
      </c>
      <c r="N341">
        <v>191.8</v>
      </c>
      <c r="O341">
        <v>174.5</v>
      </c>
      <c r="P341">
        <v>183.1</v>
      </c>
      <c r="Q341">
        <v>172.5</v>
      </c>
      <c r="R341">
        <v>193.2</v>
      </c>
      <c r="S341">
        <v>182</v>
      </c>
      <c r="T341">
        <v>180.3</v>
      </c>
      <c r="U341">
        <v>181.7</v>
      </c>
      <c r="V341">
        <v>167.8</v>
      </c>
      <c r="W341">
        <v>179.6</v>
      </c>
      <c r="X341">
        <v>171.3</v>
      </c>
      <c r="Y341">
        <v>178.8</v>
      </c>
      <c r="Z341">
        <v>166.3</v>
      </c>
      <c r="AA341">
        <v>168.6</v>
      </c>
      <c r="AB341">
        <v>174.7</v>
      </c>
      <c r="AC341">
        <v>169.7</v>
      </c>
      <c r="AD341">
        <v>171.8</v>
      </c>
      <c r="AE341">
        <v>174.3</v>
      </c>
    </row>
    <row r="342" spans="1:31" x14ac:dyDescent="0.3">
      <c r="A342" t="s">
        <v>48</v>
      </c>
      <c r="B342">
        <v>2022</v>
      </c>
      <c r="C342" t="s">
        <v>55</v>
      </c>
      <c r="D342" t="str">
        <f>_xlfn.CONCAT(All_India_Index_Upto_April23__1___1[[#This Row],[Year]],"-",All_India_Index_Upto_April23__1___1[[#This Row],[Month]])</f>
        <v>2022-July</v>
      </c>
      <c r="E342">
        <v>159.30000000000001</v>
      </c>
      <c r="F342">
        <v>217.1</v>
      </c>
      <c r="G342">
        <v>176.6</v>
      </c>
      <c r="H342">
        <v>167.1</v>
      </c>
      <c r="I342">
        <v>184.8</v>
      </c>
      <c r="J342">
        <v>179.5</v>
      </c>
      <c r="K342">
        <v>208.5</v>
      </c>
      <c r="L342">
        <v>164</v>
      </c>
      <c r="M342">
        <v>121.5</v>
      </c>
      <c r="N342">
        <v>186.3</v>
      </c>
      <c r="O342">
        <v>159.80000000000001</v>
      </c>
      <c r="P342">
        <v>187.7</v>
      </c>
      <c r="Q342">
        <v>179.4</v>
      </c>
      <c r="R342">
        <v>198.6</v>
      </c>
      <c r="S342">
        <v>172.7</v>
      </c>
      <c r="T342">
        <v>158.69999999999999</v>
      </c>
      <c r="U342">
        <v>170.6</v>
      </c>
      <c r="V342">
        <v>167.8</v>
      </c>
      <c r="W342">
        <v>179.5</v>
      </c>
      <c r="X342">
        <v>163.1</v>
      </c>
      <c r="Y342">
        <v>171.7</v>
      </c>
      <c r="Z342">
        <v>157.4</v>
      </c>
      <c r="AA342">
        <v>164.6</v>
      </c>
      <c r="AB342">
        <v>169.1</v>
      </c>
      <c r="AC342">
        <v>169.8</v>
      </c>
      <c r="AD342">
        <v>164.7</v>
      </c>
      <c r="AE342">
        <v>172.3</v>
      </c>
    </row>
    <row r="343" spans="1:31" x14ac:dyDescent="0.3">
      <c r="A343" t="s">
        <v>49</v>
      </c>
      <c r="B343">
        <v>2022</v>
      </c>
      <c r="C343" t="s">
        <v>55</v>
      </c>
      <c r="D343" t="str">
        <f>_xlfn.CONCAT(All_India_Index_Upto_April23__1___1[[#This Row],[Year]],"-",All_India_Index_Upto_April23__1___1[[#This Row],[Month]])</f>
        <v>2022-July</v>
      </c>
      <c r="E343">
        <v>156.5</v>
      </c>
      <c r="F343">
        <v>213</v>
      </c>
      <c r="G343">
        <v>175.2</v>
      </c>
      <c r="H343">
        <v>166.6</v>
      </c>
      <c r="I343">
        <v>195.8</v>
      </c>
      <c r="J343">
        <v>174.2</v>
      </c>
      <c r="K343">
        <v>182.1</v>
      </c>
      <c r="L343">
        <v>164.3</v>
      </c>
      <c r="M343">
        <v>120</v>
      </c>
      <c r="N343">
        <v>190</v>
      </c>
      <c r="O343">
        <v>168.4</v>
      </c>
      <c r="P343">
        <v>185.2</v>
      </c>
      <c r="Q343">
        <v>175</v>
      </c>
      <c r="R343">
        <v>194.6</v>
      </c>
      <c r="S343">
        <v>178.3</v>
      </c>
      <c r="T343">
        <v>171.3</v>
      </c>
      <c r="U343">
        <v>177.3</v>
      </c>
      <c r="V343">
        <v>167.8</v>
      </c>
      <c r="W343">
        <v>179.6</v>
      </c>
      <c r="X343">
        <v>167.4</v>
      </c>
      <c r="Y343">
        <v>176.1</v>
      </c>
      <c r="Z343">
        <v>161.6</v>
      </c>
      <c r="AA343">
        <v>166.3</v>
      </c>
      <c r="AB343">
        <v>171.4</v>
      </c>
      <c r="AC343">
        <v>169.7</v>
      </c>
      <c r="AD343">
        <v>168.4</v>
      </c>
      <c r="AE343">
        <v>173.4</v>
      </c>
    </row>
    <row r="344" spans="1:31" x14ac:dyDescent="0.3">
      <c r="A344" t="s">
        <v>46</v>
      </c>
      <c r="B344">
        <v>2022</v>
      </c>
      <c r="C344" t="s">
        <v>56</v>
      </c>
      <c r="D344" t="str">
        <f>_xlfn.CONCAT(All_India_Index_Upto_April23__1___1[[#This Row],[Year]],"-",All_India_Index_Upto_April23__1___1[[#This Row],[Month]])</f>
        <v>2022-August</v>
      </c>
      <c r="E344">
        <v>159.5</v>
      </c>
      <c r="F344">
        <v>204.1</v>
      </c>
      <c r="G344">
        <v>168.3</v>
      </c>
      <c r="H344">
        <v>167.9</v>
      </c>
      <c r="I344">
        <v>198.1</v>
      </c>
      <c r="J344">
        <v>169.2</v>
      </c>
      <c r="K344">
        <v>173.1</v>
      </c>
      <c r="L344">
        <v>167.1</v>
      </c>
      <c r="M344">
        <v>120.2</v>
      </c>
      <c r="N344">
        <v>195.6</v>
      </c>
      <c r="O344">
        <v>174.8</v>
      </c>
      <c r="P344">
        <v>184</v>
      </c>
      <c r="Q344">
        <v>173.9</v>
      </c>
      <c r="R344">
        <v>193.7</v>
      </c>
      <c r="S344">
        <v>183.2</v>
      </c>
      <c r="T344">
        <v>181.7</v>
      </c>
      <c r="U344">
        <v>183</v>
      </c>
      <c r="V344">
        <v>169</v>
      </c>
      <c r="W344">
        <v>179.1</v>
      </c>
      <c r="X344">
        <v>172.3</v>
      </c>
      <c r="Y344">
        <v>179.4</v>
      </c>
      <c r="Z344">
        <v>166.6</v>
      </c>
      <c r="AA344">
        <v>169.3</v>
      </c>
      <c r="AB344">
        <v>175.7</v>
      </c>
      <c r="AC344">
        <v>171.1</v>
      </c>
      <c r="AD344">
        <v>172.6</v>
      </c>
      <c r="AE344">
        <v>175.3</v>
      </c>
    </row>
    <row r="345" spans="1:31" x14ac:dyDescent="0.3">
      <c r="A345" t="s">
        <v>48</v>
      </c>
      <c r="B345">
        <v>2022</v>
      </c>
      <c r="C345" t="s">
        <v>56</v>
      </c>
      <c r="D345" t="str">
        <f>_xlfn.CONCAT(All_India_Index_Upto_April23__1___1[[#This Row],[Year]],"-",All_India_Index_Upto_April23__1___1[[#This Row],[Month]])</f>
        <v>2022-August</v>
      </c>
      <c r="E345">
        <v>162.1</v>
      </c>
      <c r="F345">
        <v>210.9</v>
      </c>
      <c r="G345">
        <v>170.6</v>
      </c>
      <c r="H345">
        <v>168.4</v>
      </c>
      <c r="I345">
        <v>182.5</v>
      </c>
      <c r="J345">
        <v>177.1</v>
      </c>
      <c r="K345">
        <v>213.1</v>
      </c>
      <c r="L345">
        <v>167.3</v>
      </c>
      <c r="M345">
        <v>122.2</v>
      </c>
      <c r="N345">
        <v>189.7</v>
      </c>
      <c r="O345">
        <v>160.5</v>
      </c>
      <c r="P345">
        <v>188.9</v>
      </c>
      <c r="Q345">
        <v>180.4</v>
      </c>
      <c r="R345">
        <v>198.7</v>
      </c>
      <c r="S345">
        <v>173.7</v>
      </c>
      <c r="T345">
        <v>160</v>
      </c>
      <c r="U345">
        <v>171.6</v>
      </c>
      <c r="V345">
        <v>169</v>
      </c>
      <c r="W345">
        <v>178.4</v>
      </c>
      <c r="X345">
        <v>164.2</v>
      </c>
      <c r="Y345">
        <v>172.6</v>
      </c>
      <c r="Z345">
        <v>157.69999999999999</v>
      </c>
      <c r="AA345">
        <v>165.1</v>
      </c>
      <c r="AB345">
        <v>169.9</v>
      </c>
      <c r="AC345">
        <v>171.4</v>
      </c>
      <c r="AD345">
        <v>165.4</v>
      </c>
      <c r="AE345">
        <v>173.1</v>
      </c>
    </row>
    <row r="346" spans="1:31" x14ac:dyDescent="0.3">
      <c r="A346" t="s">
        <v>49</v>
      </c>
      <c r="B346">
        <v>2022</v>
      </c>
      <c r="C346" t="s">
        <v>56</v>
      </c>
      <c r="D346" t="str">
        <f>_xlfn.CONCAT(All_India_Index_Upto_April23__1___1[[#This Row],[Year]],"-",All_India_Index_Upto_April23__1___1[[#This Row],[Month]])</f>
        <v>2022-August</v>
      </c>
      <c r="E346">
        <v>160.30000000000001</v>
      </c>
      <c r="F346">
        <v>206.5</v>
      </c>
      <c r="G346">
        <v>169.2</v>
      </c>
      <c r="H346">
        <v>168.1</v>
      </c>
      <c r="I346">
        <v>192.4</v>
      </c>
      <c r="J346">
        <v>172.9</v>
      </c>
      <c r="K346">
        <v>186.7</v>
      </c>
      <c r="L346">
        <v>167.2</v>
      </c>
      <c r="M346">
        <v>120.9</v>
      </c>
      <c r="N346">
        <v>193.6</v>
      </c>
      <c r="O346">
        <v>168.8</v>
      </c>
      <c r="P346">
        <v>186.3</v>
      </c>
      <c r="Q346">
        <v>176.3</v>
      </c>
      <c r="R346">
        <v>195</v>
      </c>
      <c r="S346">
        <v>179.5</v>
      </c>
      <c r="T346">
        <v>172.7</v>
      </c>
      <c r="U346">
        <v>178.5</v>
      </c>
      <c r="V346">
        <v>169</v>
      </c>
      <c r="W346">
        <v>178.8</v>
      </c>
      <c r="X346">
        <v>168.5</v>
      </c>
      <c r="Y346">
        <v>176.8</v>
      </c>
      <c r="Z346">
        <v>161.9</v>
      </c>
      <c r="AA346">
        <v>166.9</v>
      </c>
      <c r="AB346">
        <v>172.3</v>
      </c>
      <c r="AC346">
        <v>171.2</v>
      </c>
      <c r="AD346">
        <v>169.1</v>
      </c>
      <c r="AE346">
        <v>174.3</v>
      </c>
    </row>
    <row r="347" spans="1:31" x14ac:dyDescent="0.3">
      <c r="A347" t="s">
        <v>46</v>
      </c>
      <c r="B347">
        <v>2022</v>
      </c>
      <c r="C347" t="s">
        <v>57</v>
      </c>
      <c r="D347" t="str">
        <f>_xlfn.CONCAT(All_India_Index_Upto_April23__1___1[[#This Row],[Year]],"-",All_India_Index_Upto_April23__1___1[[#This Row],[Month]])</f>
        <v>2022-September</v>
      </c>
      <c r="E347">
        <v>162.9</v>
      </c>
      <c r="F347">
        <v>206.7</v>
      </c>
      <c r="G347">
        <v>169</v>
      </c>
      <c r="H347">
        <v>169.5</v>
      </c>
      <c r="I347">
        <v>194.1</v>
      </c>
      <c r="J347">
        <v>164.1</v>
      </c>
      <c r="K347">
        <v>176.9</v>
      </c>
      <c r="L347">
        <v>169</v>
      </c>
      <c r="M347">
        <v>120.8</v>
      </c>
      <c r="N347">
        <v>199.1</v>
      </c>
      <c r="O347">
        <v>175.4</v>
      </c>
      <c r="P347">
        <v>184.8</v>
      </c>
      <c r="Q347">
        <v>175.5</v>
      </c>
      <c r="R347">
        <v>194.5</v>
      </c>
      <c r="S347">
        <v>184.7</v>
      </c>
      <c r="T347">
        <v>183.3</v>
      </c>
      <c r="U347">
        <v>184.5</v>
      </c>
      <c r="V347">
        <v>169.5</v>
      </c>
      <c r="W347">
        <v>179.7</v>
      </c>
      <c r="X347">
        <v>173.6</v>
      </c>
      <c r="Y347">
        <v>180.2</v>
      </c>
      <c r="Z347">
        <v>166.9</v>
      </c>
      <c r="AA347">
        <v>170</v>
      </c>
      <c r="AB347">
        <v>176.2</v>
      </c>
      <c r="AC347">
        <v>170.8</v>
      </c>
      <c r="AD347">
        <v>173.1</v>
      </c>
      <c r="AE347">
        <v>176.4</v>
      </c>
    </row>
    <row r="348" spans="1:31" x14ac:dyDescent="0.3">
      <c r="A348" t="s">
        <v>48</v>
      </c>
      <c r="B348">
        <v>2022</v>
      </c>
      <c r="C348" t="s">
        <v>57</v>
      </c>
      <c r="D348" t="str">
        <f>_xlfn.CONCAT(All_India_Index_Upto_April23__1___1[[#This Row],[Year]],"-",All_India_Index_Upto_April23__1___1[[#This Row],[Month]])</f>
        <v>2022-September</v>
      </c>
      <c r="E348">
        <v>164.9</v>
      </c>
      <c r="F348">
        <v>213.7</v>
      </c>
      <c r="G348">
        <v>170.9</v>
      </c>
      <c r="H348">
        <v>170.1</v>
      </c>
      <c r="I348">
        <v>179.3</v>
      </c>
      <c r="J348">
        <v>167.5</v>
      </c>
      <c r="K348">
        <v>220.8</v>
      </c>
      <c r="L348">
        <v>169.2</v>
      </c>
      <c r="M348">
        <v>123.1</v>
      </c>
      <c r="N348">
        <v>193.6</v>
      </c>
      <c r="O348">
        <v>161.1</v>
      </c>
      <c r="P348">
        <v>190.4</v>
      </c>
      <c r="Q348">
        <v>181.8</v>
      </c>
      <c r="R348">
        <v>199.7</v>
      </c>
      <c r="S348">
        <v>175</v>
      </c>
      <c r="T348">
        <v>161.69999999999999</v>
      </c>
      <c r="U348">
        <v>173</v>
      </c>
      <c r="V348">
        <v>169.5</v>
      </c>
      <c r="W348">
        <v>179.2</v>
      </c>
      <c r="X348">
        <v>165</v>
      </c>
      <c r="Y348">
        <v>173.8</v>
      </c>
      <c r="Z348">
        <v>158.19999999999999</v>
      </c>
      <c r="AA348">
        <v>165.8</v>
      </c>
      <c r="AB348">
        <v>170.9</v>
      </c>
      <c r="AC348">
        <v>171.1</v>
      </c>
      <c r="AD348">
        <v>166.1</v>
      </c>
      <c r="AE348">
        <v>174.1</v>
      </c>
    </row>
    <row r="349" spans="1:31" x14ac:dyDescent="0.3">
      <c r="A349" t="s">
        <v>49</v>
      </c>
      <c r="B349">
        <v>2022</v>
      </c>
      <c r="C349" t="s">
        <v>57</v>
      </c>
      <c r="D349" t="str">
        <f>_xlfn.CONCAT(All_India_Index_Upto_April23__1___1[[#This Row],[Year]],"-",All_India_Index_Upto_April23__1___1[[#This Row],[Month]])</f>
        <v>2022-September</v>
      </c>
      <c r="E349">
        <v>163.5</v>
      </c>
      <c r="F349">
        <v>209.2</v>
      </c>
      <c r="G349">
        <v>169.7</v>
      </c>
      <c r="H349">
        <v>169.7</v>
      </c>
      <c r="I349">
        <v>188.7</v>
      </c>
      <c r="J349">
        <v>165.7</v>
      </c>
      <c r="K349">
        <v>191.8</v>
      </c>
      <c r="L349">
        <v>169.1</v>
      </c>
      <c r="M349">
        <v>121.6</v>
      </c>
      <c r="N349">
        <v>197.3</v>
      </c>
      <c r="O349">
        <v>169.4</v>
      </c>
      <c r="P349">
        <v>187.4</v>
      </c>
      <c r="Q349">
        <v>177.8</v>
      </c>
      <c r="R349">
        <v>195.9</v>
      </c>
      <c r="S349">
        <v>180.9</v>
      </c>
      <c r="T349">
        <v>174.3</v>
      </c>
      <c r="U349">
        <v>179.9</v>
      </c>
      <c r="V349">
        <v>169.5</v>
      </c>
      <c r="W349">
        <v>179.5</v>
      </c>
      <c r="X349">
        <v>169.5</v>
      </c>
      <c r="Y349">
        <v>177.8</v>
      </c>
      <c r="Z349">
        <v>162.30000000000001</v>
      </c>
      <c r="AA349">
        <v>167.6</v>
      </c>
      <c r="AB349">
        <v>173.1</v>
      </c>
      <c r="AC349">
        <v>170.9</v>
      </c>
      <c r="AD349">
        <v>169.7</v>
      </c>
      <c r="AE349">
        <v>175.3</v>
      </c>
    </row>
    <row r="350" spans="1:31" x14ac:dyDescent="0.3">
      <c r="A350" t="s">
        <v>46</v>
      </c>
      <c r="B350">
        <v>2022</v>
      </c>
      <c r="C350" t="s">
        <v>58</v>
      </c>
      <c r="D350" t="str">
        <f>_xlfn.CONCAT(All_India_Index_Upto_April23__1___1[[#This Row],[Year]],"-",All_India_Index_Upto_April23__1___1[[#This Row],[Month]])</f>
        <v>2022-October</v>
      </c>
      <c r="E350">
        <v>164.7</v>
      </c>
      <c r="F350">
        <v>208.8</v>
      </c>
      <c r="G350">
        <v>170.3</v>
      </c>
      <c r="H350">
        <v>170.9</v>
      </c>
      <c r="I350">
        <v>191.6</v>
      </c>
      <c r="J350">
        <v>162.19999999999999</v>
      </c>
      <c r="K350">
        <v>184.8</v>
      </c>
      <c r="L350">
        <v>169.7</v>
      </c>
      <c r="M350">
        <v>121.1</v>
      </c>
      <c r="N350">
        <v>201.6</v>
      </c>
      <c r="O350">
        <v>175.8</v>
      </c>
      <c r="P350">
        <v>185.6</v>
      </c>
      <c r="Q350">
        <v>177.4</v>
      </c>
      <c r="R350">
        <v>194.9</v>
      </c>
      <c r="S350">
        <v>186.1</v>
      </c>
      <c r="T350">
        <v>184.4</v>
      </c>
      <c r="U350">
        <v>185.9</v>
      </c>
      <c r="V350">
        <v>171.2</v>
      </c>
      <c r="W350">
        <v>180.8</v>
      </c>
      <c r="X350">
        <v>174.4</v>
      </c>
      <c r="Y350">
        <v>181.2</v>
      </c>
      <c r="Z350">
        <v>167.4</v>
      </c>
      <c r="AA350">
        <v>170.6</v>
      </c>
      <c r="AB350">
        <v>176.5</v>
      </c>
      <c r="AC350">
        <v>172</v>
      </c>
      <c r="AD350">
        <v>173.9</v>
      </c>
      <c r="AE350">
        <v>177.9</v>
      </c>
    </row>
    <row r="351" spans="1:31" x14ac:dyDescent="0.3">
      <c r="A351" t="s">
        <v>48</v>
      </c>
      <c r="B351">
        <v>2022</v>
      </c>
      <c r="C351" t="s">
        <v>58</v>
      </c>
      <c r="D351" t="str">
        <f>_xlfn.CONCAT(All_India_Index_Upto_April23__1___1[[#This Row],[Year]],"-",All_India_Index_Upto_April23__1___1[[#This Row],[Month]])</f>
        <v>2022-October</v>
      </c>
      <c r="E351">
        <v>166.4</v>
      </c>
      <c r="F351">
        <v>214.9</v>
      </c>
      <c r="G351">
        <v>171.9</v>
      </c>
      <c r="H351">
        <v>171</v>
      </c>
      <c r="I351">
        <v>177.7</v>
      </c>
      <c r="J351">
        <v>165.7</v>
      </c>
      <c r="K351">
        <v>228.6</v>
      </c>
      <c r="L351">
        <v>169.9</v>
      </c>
      <c r="M351">
        <v>123.4</v>
      </c>
      <c r="N351">
        <v>196.4</v>
      </c>
      <c r="O351">
        <v>161.6</v>
      </c>
      <c r="P351">
        <v>191.5</v>
      </c>
      <c r="Q351">
        <v>183.3</v>
      </c>
      <c r="R351">
        <v>200.1</v>
      </c>
      <c r="S351">
        <v>175.5</v>
      </c>
      <c r="T351">
        <v>162.6</v>
      </c>
      <c r="U351">
        <v>173.6</v>
      </c>
      <c r="V351">
        <v>171.2</v>
      </c>
      <c r="W351">
        <v>180</v>
      </c>
      <c r="X351">
        <v>166</v>
      </c>
      <c r="Y351">
        <v>174.7</v>
      </c>
      <c r="Z351">
        <v>158.80000000000001</v>
      </c>
      <c r="AA351">
        <v>166.3</v>
      </c>
      <c r="AB351">
        <v>171.2</v>
      </c>
      <c r="AC351">
        <v>172.3</v>
      </c>
      <c r="AD351">
        <v>166.8</v>
      </c>
      <c r="AE351">
        <v>175.3</v>
      </c>
    </row>
    <row r="352" spans="1:31" x14ac:dyDescent="0.3">
      <c r="A352" t="s">
        <v>49</v>
      </c>
      <c r="B352">
        <v>2022</v>
      </c>
      <c r="C352" t="s">
        <v>58</v>
      </c>
      <c r="D352" t="str">
        <f>_xlfn.CONCAT(All_India_Index_Upto_April23__1___1[[#This Row],[Year]],"-",All_India_Index_Upto_April23__1___1[[#This Row],[Month]])</f>
        <v>2022-October</v>
      </c>
      <c r="E352">
        <v>165.2</v>
      </c>
      <c r="F352">
        <v>210.9</v>
      </c>
      <c r="G352">
        <v>170.9</v>
      </c>
      <c r="H352">
        <v>170.9</v>
      </c>
      <c r="I352">
        <v>186.5</v>
      </c>
      <c r="J352">
        <v>163.80000000000001</v>
      </c>
      <c r="K352">
        <v>199.7</v>
      </c>
      <c r="L352">
        <v>169.8</v>
      </c>
      <c r="M352">
        <v>121.9</v>
      </c>
      <c r="N352">
        <v>199.9</v>
      </c>
      <c r="O352">
        <v>169.9</v>
      </c>
      <c r="P352">
        <v>188.3</v>
      </c>
      <c r="Q352">
        <v>179.6</v>
      </c>
      <c r="R352">
        <v>196.3</v>
      </c>
      <c r="S352">
        <v>181.9</v>
      </c>
      <c r="T352">
        <v>175.3</v>
      </c>
      <c r="U352">
        <v>181</v>
      </c>
      <c r="V352">
        <v>171.2</v>
      </c>
      <c r="W352">
        <v>180.5</v>
      </c>
      <c r="X352">
        <v>170.4</v>
      </c>
      <c r="Y352">
        <v>178.7</v>
      </c>
      <c r="Z352">
        <v>162.9</v>
      </c>
      <c r="AA352">
        <v>168.2</v>
      </c>
      <c r="AB352">
        <v>173.4</v>
      </c>
      <c r="AC352">
        <v>172.1</v>
      </c>
      <c r="AD352">
        <v>170.5</v>
      </c>
      <c r="AE352">
        <v>176.7</v>
      </c>
    </row>
    <row r="353" spans="1:31" x14ac:dyDescent="0.3">
      <c r="A353" t="s">
        <v>46</v>
      </c>
      <c r="B353">
        <v>2022</v>
      </c>
      <c r="C353" t="s">
        <v>60</v>
      </c>
      <c r="D353" t="str">
        <f>_xlfn.CONCAT(All_India_Index_Upto_April23__1___1[[#This Row],[Year]],"-",All_India_Index_Upto_April23__1___1[[#This Row],[Month]])</f>
        <v>2022-November</v>
      </c>
      <c r="E353">
        <v>166.9</v>
      </c>
      <c r="F353">
        <v>207.2</v>
      </c>
      <c r="G353">
        <v>180.2</v>
      </c>
      <c r="H353">
        <v>172.3</v>
      </c>
      <c r="I353">
        <v>194</v>
      </c>
      <c r="J353">
        <v>159.1</v>
      </c>
      <c r="K353">
        <v>171.6</v>
      </c>
      <c r="L353">
        <v>170.2</v>
      </c>
      <c r="M353">
        <v>121.5</v>
      </c>
      <c r="N353">
        <v>204.8</v>
      </c>
      <c r="O353">
        <v>176.4</v>
      </c>
      <c r="P353">
        <v>186.9</v>
      </c>
      <c r="Q353">
        <v>176.6</v>
      </c>
      <c r="R353">
        <v>195.5</v>
      </c>
      <c r="S353">
        <v>187.2</v>
      </c>
      <c r="T353">
        <v>185.2</v>
      </c>
      <c r="U353">
        <v>186.9</v>
      </c>
      <c r="V353">
        <v>171.8</v>
      </c>
      <c r="W353">
        <v>181.9</v>
      </c>
      <c r="X353">
        <v>175.5</v>
      </c>
      <c r="Y353">
        <v>182.3</v>
      </c>
      <c r="Z353">
        <v>167.5</v>
      </c>
      <c r="AA353">
        <v>170.8</v>
      </c>
      <c r="AB353">
        <v>176.9</v>
      </c>
      <c r="AC353">
        <v>173.4</v>
      </c>
      <c r="AD353">
        <v>174.6</v>
      </c>
      <c r="AE353">
        <v>177.8</v>
      </c>
    </row>
    <row r="354" spans="1:31" x14ac:dyDescent="0.3">
      <c r="A354" t="s">
        <v>48</v>
      </c>
      <c r="B354">
        <v>2022</v>
      </c>
      <c r="C354" t="s">
        <v>60</v>
      </c>
      <c r="D354" t="str">
        <f>_xlfn.CONCAT(All_India_Index_Upto_April23__1___1[[#This Row],[Year]],"-",All_India_Index_Upto_April23__1___1[[#This Row],[Month]])</f>
        <v>2022-November</v>
      </c>
      <c r="E354">
        <v>168.4</v>
      </c>
      <c r="F354">
        <v>213.4</v>
      </c>
      <c r="G354">
        <v>183.2</v>
      </c>
      <c r="H354">
        <v>172.3</v>
      </c>
      <c r="I354">
        <v>180</v>
      </c>
      <c r="J354">
        <v>162.6</v>
      </c>
      <c r="K354">
        <v>205.5</v>
      </c>
      <c r="L354">
        <v>171</v>
      </c>
      <c r="M354">
        <v>123.4</v>
      </c>
      <c r="N354">
        <v>198.8</v>
      </c>
      <c r="O354">
        <v>162.1</v>
      </c>
      <c r="P354">
        <v>192.4</v>
      </c>
      <c r="Q354">
        <v>181.3</v>
      </c>
      <c r="R354">
        <v>200.6</v>
      </c>
      <c r="S354">
        <v>176.7</v>
      </c>
      <c r="T354">
        <v>163.5</v>
      </c>
      <c r="U354">
        <v>174.7</v>
      </c>
      <c r="V354">
        <v>171.8</v>
      </c>
      <c r="W354">
        <v>180.3</v>
      </c>
      <c r="X354">
        <v>166.9</v>
      </c>
      <c r="Y354">
        <v>175.8</v>
      </c>
      <c r="Z354">
        <v>158.9</v>
      </c>
      <c r="AA354">
        <v>166.7</v>
      </c>
      <c r="AB354">
        <v>171.5</v>
      </c>
      <c r="AC354">
        <v>173.8</v>
      </c>
      <c r="AD354">
        <v>167.4</v>
      </c>
      <c r="AE354">
        <v>174.1</v>
      </c>
    </row>
    <row r="355" spans="1:31" x14ac:dyDescent="0.3">
      <c r="A355" t="s">
        <v>49</v>
      </c>
      <c r="B355">
        <v>2022</v>
      </c>
      <c r="C355" t="s">
        <v>60</v>
      </c>
      <c r="D355" t="str">
        <f>_xlfn.CONCAT(All_India_Index_Upto_April23__1___1[[#This Row],[Year]],"-",All_India_Index_Upto_April23__1___1[[#This Row],[Month]])</f>
        <v>2022-November</v>
      </c>
      <c r="E355">
        <v>167.4</v>
      </c>
      <c r="F355">
        <v>209.4</v>
      </c>
      <c r="G355">
        <v>181.4</v>
      </c>
      <c r="H355">
        <v>172.3</v>
      </c>
      <c r="I355">
        <v>188.9</v>
      </c>
      <c r="J355">
        <v>160.69999999999999</v>
      </c>
      <c r="K355">
        <v>183.1</v>
      </c>
      <c r="L355">
        <v>170.5</v>
      </c>
      <c r="M355">
        <v>122.1</v>
      </c>
      <c r="N355">
        <v>202.8</v>
      </c>
      <c r="O355">
        <v>170.4</v>
      </c>
      <c r="P355">
        <v>189.5</v>
      </c>
      <c r="Q355">
        <v>178.3</v>
      </c>
      <c r="R355">
        <v>196.9</v>
      </c>
      <c r="S355">
        <v>183.1</v>
      </c>
      <c r="T355">
        <v>176.2</v>
      </c>
      <c r="U355">
        <v>182.1</v>
      </c>
      <c r="V355">
        <v>171.8</v>
      </c>
      <c r="W355">
        <v>181.3</v>
      </c>
      <c r="X355">
        <v>171.4</v>
      </c>
      <c r="Y355">
        <v>179.8</v>
      </c>
      <c r="Z355">
        <v>163</v>
      </c>
      <c r="AA355">
        <v>168.5</v>
      </c>
      <c r="AB355">
        <v>173.7</v>
      </c>
      <c r="AC355">
        <v>173.6</v>
      </c>
      <c r="AD355">
        <v>171.1</v>
      </c>
      <c r="AE355">
        <v>176.5</v>
      </c>
    </row>
    <row r="356" spans="1:31" x14ac:dyDescent="0.3">
      <c r="A356" t="s">
        <v>46</v>
      </c>
      <c r="B356">
        <v>2022</v>
      </c>
      <c r="C356" t="s">
        <v>61</v>
      </c>
      <c r="D356" t="str">
        <f>_xlfn.CONCAT(All_India_Index_Upto_April23__1___1[[#This Row],[Year]],"-",All_India_Index_Upto_April23__1___1[[#This Row],[Month]])</f>
        <v>2022-December</v>
      </c>
      <c r="E356">
        <v>168.8</v>
      </c>
      <c r="F356">
        <v>206.9</v>
      </c>
      <c r="G356">
        <v>189.1</v>
      </c>
      <c r="H356">
        <v>173.4</v>
      </c>
      <c r="I356">
        <v>193.9</v>
      </c>
      <c r="J356">
        <v>156.69999999999999</v>
      </c>
      <c r="K356">
        <v>150.19999999999999</v>
      </c>
      <c r="L356">
        <v>170.5</v>
      </c>
      <c r="M356">
        <v>121.2</v>
      </c>
      <c r="N356">
        <v>207.5</v>
      </c>
      <c r="O356">
        <v>176.8</v>
      </c>
      <c r="P356">
        <v>187.7</v>
      </c>
      <c r="Q356">
        <v>174.4</v>
      </c>
      <c r="R356">
        <v>195.9</v>
      </c>
      <c r="S356">
        <v>188.1</v>
      </c>
      <c r="T356">
        <v>185.9</v>
      </c>
      <c r="U356">
        <v>187.8</v>
      </c>
      <c r="V356">
        <v>170.7</v>
      </c>
      <c r="W356">
        <v>182.8</v>
      </c>
      <c r="X356">
        <v>176.4</v>
      </c>
      <c r="Y356">
        <v>183.5</v>
      </c>
      <c r="Z356">
        <v>167.8</v>
      </c>
      <c r="AA356">
        <v>171.2</v>
      </c>
      <c r="AB356">
        <v>177.3</v>
      </c>
      <c r="AC356">
        <v>175.7</v>
      </c>
      <c r="AD356">
        <v>175.5</v>
      </c>
      <c r="AE356">
        <v>177.1</v>
      </c>
    </row>
    <row r="357" spans="1:31" x14ac:dyDescent="0.3">
      <c r="A357" t="s">
        <v>48</v>
      </c>
      <c r="B357">
        <v>2022</v>
      </c>
      <c r="C357" t="s">
        <v>61</v>
      </c>
      <c r="D357" t="str">
        <f>_xlfn.CONCAT(All_India_Index_Upto_April23__1___1[[#This Row],[Year]],"-",All_India_Index_Upto_April23__1___1[[#This Row],[Month]])</f>
        <v>2022-December</v>
      </c>
      <c r="E357">
        <v>170.2</v>
      </c>
      <c r="F357">
        <v>212.9</v>
      </c>
      <c r="G357">
        <v>191.9</v>
      </c>
      <c r="H357">
        <v>173.9</v>
      </c>
      <c r="I357">
        <v>179.1</v>
      </c>
      <c r="J357">
        <v>159.5</v>
      </c>
      <c r="K357">
        <v>178.7</v>
      </c>
      <c r="L357">
        <v>171.3</v>
      </c>
      <c r="M357">
        <v>123.1</v>
      </c>
      <c r="N357">
        <v>200.5</v>
      </c>
      <c r="O357">
        <v>162.80000000000001</v>
      </c>
      <c r="P357">
        <v>193.3</v>
      </c>
      <c r="Q357">
        <v>178.6</v>
      </c>
      <c r="R357">
        <v>201.1</v>
      </c>
      <c r="S357">
        <v>177.7</v>
      </c>
      <c r="T357">
        <v>164.5</v>
      </c>
      <c r="U357">
        <v>175.7</v>
      </c>
      <c r="V357">
        <v>170.7</v>
      </c>
      <c r="W357">
        <v>180.6</v>
      </c>
      <c r="X357">
        <v>167.3</v>
      </c>
      <c r="Y357">
        <v>177.2</v>
      </c>
      <c r="Z357">
        <v>159.4</v>
      </c>
      <c r="AA357">
        <v>167.1</v>
      </c>
      <c r="AB357">
        <v>171.8</v>
      </c>
      <c r="AC357">
        <v>176</v>
      </c>
      <c r="AD357">
        <v>168.2</v>
      </c>
      <c r="AE357">
        <v>174.1</v>
      </c>
    </row>
    <row r="358" spans="1:31" x14ac:dyDescent="0.3">
      <c r="A358" t="s">
        <v>49</v>
      </c>
      <c r="B358">
        <v>2022</v>
      </c>
      <c r="C358" t="s">
        <v>61</v>
      </c>
      <c r="D358" t="str">
        <f>_xlfn.CONCAT(All_India_Index_Upto_April23__1___1[[#This Row],[Year]],"-",All_India_Index_Upto_April23__1___1[[#This Row],[Month]])</f>
        <v>2022-December</v>
      </c>
      <c r="E358">
        <v>169.2</v>
      </c>
      <c r="F358">
        <v>209</v>
      </c>
      <c r="G358">
        <v>190.2</v>
      </c>
      <c r="H358">
        <v>173.6</v>
      </c>
      <c r="I358">
        <v>188.5</v>
      </c>
      <c r="J358">
        <v>158</v>
      </c>
      <c r="K358">
        <v>159.9</v>
      </c>
      <c r="L358">
        <v>170.8</v>
      </c>
      <c r="M358">
        <v>121.8</v>
      </c>
      <c r="N358">
        <v>205.2</v>
      </c>
      <c r="O358">
        <v>171</v>
      </c>
      <c r="P358">
        <v>190.3</v>
      </c>
      <c r="Q358">
        <v>175.9</v>
      </c>
      <c r="R358">
        <v>197.3</v>
      </c>
      <c r="S358">
        <v>184</v>
      </c>
      <c r="T358">
        <v>177</v>
      </c>
      <c r="U358">
        <v>183</v>
      </c>
      <c r="V358">
        <v>170.7</v>
      </c>
      <c r="W358">
        <v>182</v>
      </c>
      <c r="X358">
        <v>172.1</v>
      </c>
      <c r="Y358">
        <v>181.1</v>
      </c>
      <c r="Z358">
        <v>163.4</v>
      </c>
      <c r="AA358">
        <v>168.9</v>
      </c>
      <c r="AB358">
        <v>174.1</v>
      </c>
      <c r="AC358">
        <v>175.8</v>
      </c>
      <c r="AD358">
        <v>172</v>
      </c>
      <c r="AE358">
        <v>175.7</v>
      </c>
    </row>
    <row r="359" spans="1:31" x14ac:dyDescent="0.3">
      <c r="A359" t="s">
        <v>46</v>
      </c>
      <c r="B359">
        <v>2023</v>
      </c>
      <c r="C359" t="s">
        <v>47</v>
      </c>
      <c r="D359" t="str">
        <f>_xlfn.CONCAT(All_India_Index_Upto_April23__1___1[[#This Row],[Year]],"-",All_India_Index_Upto_April23__1___1[[#This Row],[Month]])</f>
        <v>2023-January</v>
      </c>
      <c r="E359">
        <v>174</v>
      </c>
      <c r="F359">
        <v>208.3</v>
      </c>
      <c r="G359">
        <v>192.9</v>
      </c>
      <c r="H359">
        <v>174.3</v>
      </c>
      <c r="I359">
        <v>192.6</v>
      </c>
      <c r="J359">
        <v>156.30000000000001</v>
      </c>
      <c r="K359">
        <v>142.9</v>
      </c>
      <c r="L359">
        <v>170.7</v>
      </c>
      <c r="M359">
        <v>120.3</v>
      </c>
      <c r="N359">
        <v>210.5</v>
      </c>
      <c r="O359">
        <v>176.9</v>
      </c>
      <c r="P359">
        <v>188.5</v>
      </c>
      <c r="Q359">
        <v>175</v>
      </c>
      <c r="R359">
        <v>196.9</v>
      </c>
      <c r="S359">
        <v>189</v>
      </c>
      <c r="T359">
        <v>186.3</v>
      </c>
      <c r="U359">
        <v>188.6</v>
      </c>
      <c r="V359">
        <v>172.1</v>
      </c>
      <c r="W359">
        <v>183.2</v>
      </c>
      <c r="X359">
        <v>177.2</v>
      </c>
      <c r="Y359">
        <v>184.7</v>
      </c>
      <c r="Z359">
        <v>168.2</v>
      </c>
      <c r="AA359">
        <v>171.8</v>
      </c>
      <c r="AB359">
        <v>177.8</v>
      </c>
      <c r="AC359">
        <v>178.4</v>
      </c>
      <c r="AD359">
        <v>176.5</v>
      </c>
      <c r="AE359">
        <v>177.8</v>
      </c>
    </row>
    <row r="360" spans="1:31" x14ac:dyDescent="0.3">
      <c r="A360" t="s">
        <v>48</v>
      </c>
      <c r="B360">
        <v>2023</v>
      </c>
      <c r="C360" t="s">
        <v>47</v>
      </c>
      <c r="D360" t="str">
        <f>_xlfn.CONCAT(All_India_Index_Upto_April23__1___1[[#This Row],[Year]],"-",All_India_Index_Upto_April23__1___1[[#This Row],[Month]])</f>
        <v>2023-January</v>
      </c>
      <c r="E360">
        <v>173.3</v>
      </c>
      <c r="F360">
        <v>215.2</v>
      </c>
      <c r="G360">
        <v>197</v>
      </c>
      <c r="H360">
        <v>175.2</v>
      </c>
      <c r="I360">
        <v>178</v>
      </c>
      <c r="J360">
        <v>160.5</v>
      </c>
      <c r="K360">
        <v>175.3</v>
      </c>
      <c r="L360">
        <v>171.2</v>
      </c>
      <c r="M360">
        <v>122.7</v>
      </c>
      <c r="N360">
        <v>204.3</v>
      </c>
      <c r="O360">
        <v>163.69999999999999</v>
      </c>
      <c r="P360">
        <v>194.3</v>
      </c>
      <c r="Q360">
        <v>179.5</v>
      </c>
      <c r="R360">
        <v>201.6</v>
      </c>
      <c r="S360">
        <v>178.7</v>
      </c>
      <c r="T360">
        <v>165.3</v>
      </c>
      <c r="U360">
        <v>176.6</v>
      </c>
      <c r="V360">
        <v>172.1</v>
      </c>
      <c r="W360">
        <v>180.1</v>
      </c>
      <c r="X360">
        <v>168</v>
      </c>
      <c r="Y360">
        <v>178.5</v>
      </c>
      <c r="Z360">
        <v>159.5</v>
      </c>
      <c r="AA360">
        <v>167.8</v>
      </c>
      <c r="AB360">
        <v>171.8</v>
      </c>
      <c r="AC360">
        <v>178.8</v>
      </c>
      <c r="AD360">
        <v>168.9</v>
      </c>
      <c r="AE360">
        <v>174.9</v>
      </c>
    </row>
    <row r="361" spans="1:31" x14ac:dyDescent="0.3">
      <c r="A361" t="s">
        <v>49</v>
      </c>
      <c r="B361">
        <v>2023</v>
      </c>
      <c r="C361" t="s">
        <v>47</v>
      </c>
      <c r="D361" t="str">
        <f>_xlfn.CONCAT(All_India_Index_Upto_April23__1___1[[#This Row],[Year]],"-",All_India_Index_Upto_April23__1___1[[#This Row],[Month]])</f>
        <v>2023-January</v>
      </c>
      <c r="E361">
        <v>173.8</v>
      </c>
      <c r="F361">
        <v>210.7</v>
      </c>
      <c r="G361">
        <v>194.5</v>
      </c>
      <c r="H361">
        <v>174.6</v>
      </c>
      <c r="I361">
        <v>187.2</v>
      </c>
      <c r="J361">
        <v>158.30000000000001</v>
      </c>
      <c r="K361">
        <v>153.9</v>
      </c>
      <c r="L361">
        <v>170.9</v>
      </c>
      <c r="M361">
        <v>121.1</v>
      </c>
      <c r="N361">
        <v>208.4</v>
      </c>
      <c r="O361">
        <v>171.4</v>
      </c>
      <c r="P361">
        <v>191.2</v>
      </c>
      <c r="Q361">
        <v>176.7</v>
      </c>
      <c r="R361">
        <v>198.2</v>
      </c>
      <c r="S361">
        <v>184.9</v>
      </c>
      <c r="T361">
        <v>177.6</v>
      </c>
      <c r="U361">
        <v>183.8</v>
      </c>
      <c r="V361">
        <v>172.1</v>
      </c>
      <c r="W361">
        <v>182</v>
      </c>
      <c r="X361">
        <v>172.9</v>
      </c>
      <c r="Y361">
        <v>182.3</v>
      </c>
      <c r="Z361">
        <v>163.6</v>
      </c>
      <c r="AA361">
        <v>169.5</v>
      </c>
      <c r="AB361">
        <v>174.3</v>
      </c>
      <c r="AC361">
        <v>178.6</v>
      </c>
      <c r="AD361">
        <v>172.8</v>
      </c>
      <c r="AE361">
        <v>176.5</v>
      </c>
    </row>
    <row r="362" spans="1:31" x14ac:dyDescent="0.3">
      <c r="A362" t="s">
        <v>46</v>
      </c>
      <c r="B362">
        <v>2023</v>
      </c>
      <c r="C362" t="s">
        <v>50</v>
      </c>
      <c r="D362" t="str">
        <f>_xlfn.CONCAT(All_India_Index_Upto_April23__1___1[[#This Row],[Year]],"-",All_India_Index_Upto_April23__1___1[[#This Row],[Month]])</f>
        <v>2023-February</v>
      </c>
      <c r="E362">
        <v>174.2</v>
      </c>
      <c r="F362">
        <v>205.2</v>
      </c>
      <c r="G362">
        <v>173.9</v>
      </c>
      <c r="H362">
        <v>177</v>
      </c>
      <c r="I362">
        <v>183.4</v>
      </c>
      <c r="J362">
        <v>167.2</v>
      </c>
      <c r="K362">
        <v>140.9</v>
      </c>
      <c r="L362">
        <v>170.4</v>
      </c>
      <c r="M362">
        <v>119.1</v>
      </c>
      <c r="N362">
        <v>212.1</v>
      </c>
      <c r="O362">
        <v>177.6</v>
      </c>
      <c r="P362">
        <v>189.9</v>
      </c>
      <c r="Q362">
        <v>174.8</v>
      </c>
      <c r="R362">
        <v>198.3</v>
      </c>
      <c r="S362">
        <v>190</v>
      </c>
      <c r="T362">
        <v>187</v>
      </c>
      <c r="U362">
        <v>189.6</v>
      </c>
      <c r="V362">
        <v>173.5</v>
      </c>
      <c r="W362">
        <v>181.6</v>
      </c>
      <c r="X362">
        <v>178.6</v>
      </c>
      <c r="Y362">
        <v>186.6</v>
      </c>
      <c r="Z362">
        <v>169</v>
      </c>
      <c r="AA362">
        <v>172.8</v>
      </c>
      <c r="AB362">
        <v>178.5</v>
      </c>
      <c r="AC362">
        <v>180.7</v>
      </c>
      <c r="AD362">
        <v>177.9</v>
      </c>
      <c r="AE362">
        <v>178</v>
      </c>
    </row>
    <row r="363" spans="1:31" x14ac:dyDescent="0.3">
      <c r="A363" t="s">
        <v>48</v>
      </c>
      <c r="B363">
        <v>2023</v>
      </c>
      <c r="C363" t="s">
        <v>50</v>
      </c>
      <c r="D363" t="str">
        <f>_xlfn.CONCAT(All_India_Index_Upto_April23__1___1[[#This Row],[Year]],"-",All_India_Index_Upto_April23__1___1[[#This Row],[Month]])</f>
        <v>2023-February</v>
      </c>
      <c r="E363">
        <v>174.7</v>
      </c>
      <c r="F363">
        <v>212.2</v>
      </c>
      <c r="G363">
        <v>177.2</v>
      </c>
      <c r="H363">
        <v>177.9</v>
      </c>
      <c r="I363">
        <v>172.2</v>
      </c>
      <c r="J363">
        <v>172.1</v>
      </c>
      <c r="K363">
        <v>175.8</v>
      </c>
      <c r="L363">
        <v>172.2</v>
      </c>
      <c r="M363">
        <v>121.9</v>
      </c>
      <c r="N363">
        <v>204.8</v>
      </c>
      <c r="O363">
        <v>164.9</v>
      </c>
      <c r="P363">
        <v>196.6</v>
      </c>
      <c r="Q363">
        <v>180.7</v>
      </c>
      <c r="R363">
        <v>202.7</v>
      </c>
      <c r="S363">
        <v>180.3</v>
      </c>
      <c r="T363">
        <v>167</v>
      </c>
      <c r="U363">
        <v>178.2</v>
      </c>
      <c r="V363">
        <v>173.5</v>
      </c>
      <c r="W363">
        <v>182.8</v>
      </c>
      <c r="X363">
        <v>169.2</v>
      </c>
      <c r="Y363">
        <v>180.8</v>
      </c>
      <c r="Z363">
        <v>159.80000000000001</v>
      </c>
      <c r="AA363">
        <v>168.4</v>
      </c>
      <c r="AB363">
        <v>172.5</v>
      </c>
      <c r="AC363">
        <v>181.4</v>
      </c>
      <c r="AD363">
        <v>170</v>
      </c>
      <c r="AE363">
        <v>176.3</v>
      </c>
    </row>
    <row r="364" spans="1:31" x14ac:dyDescent="0.3">
      <c r="A364" t="s">
        <v>49</v>
      </c>
      <c r="B364">
        <v>2023</v>
      </c>
      <c r="C364" t="s">
        <v>50</v>
      </c>
      <c r="D364" t="str">
        <f>_xlfn.CONCAT(All_India_Index_Upto_April23__1___1[[#This Row],[Year]],"-",All_India_Index_Upto_April23__1___1[[#This Row],[Month]])</f>
        <v>2023-February</v>
      </c>
      <c r="E364">
        <v>174.4</v>
      </c>
      <c r="F364">
        <v>207.7</v>
      </c>
      <c r="G364">
        <v>175.2</v>
      </c>
      <c r="H364">
        <v>177.3</v>
      </c>
      <c r="I364">
        <v>179.3</v>
      </c>
      <c r="J364">
        <v>169.5</v>
      </c>
      <c r="K364">
        <v>152.69999999999999</v>
      </c>
      <c r="L364">
        <v>171</v>
      </c>
      <c r="M364">
        <v>120</v>
      </c>
      <c r="N364">
        <v>209.7</v>
      </c>
      <c r="O364">
        <v>172.3</v>
      </c>
      <c r="P364">
        <v>193</v>
      </c>
      <c r="Q364">
        <v>177</v>
      </c>
      <c r="R364">
        <v>199.5</v>
      </c>
      <c r="S364">
        <v>186.2</v>
      </c>
      <c r="T364">
        <v>178.7</v>
      </c>
      <c r="U364">
        <v>185.1</v>
      </c>
      <c r="V364">
        <v>173.5</v>
      </c>
      <c r="W364">
        <v>182.1</v>
      </c>
      <c r="X364">
        <v>174.2</v>
      </c>
      <c r="Y364">
        <v>184.4</v>
      </c>
      <c r="Z364">
        <v>164.2</v>
      </c>
      <c r="AA364">
        <v>170.3</v>
      </c>
      <c r="AB364">
        <v>175</v>
      </c>
      <c r="AC364">
        <v>181</v>
      </c>
      <c r="AD364">
        <v>174.1</v>
      </c>
      <c r="AE364">
        <v>177.2</v>
      </c>
    </row>
    <row r="365" spans="1:31" x14ac:dyDescent="0.3">
      <c r="A365" t="s">
        <v>46</v>
      </c>
      <c r="B365">
        <v>2023</v>
      </c>
      <c r="C365" t="s">
        <v>51</v>
      </c>
      <c r="D365" t="str">
        <f>_xlfn.CONCAT(All_India_Index_Upto_April23__1___1[[#This Row],[Year]],"-",All_India_Index_Upto_April23__1___1[[#This Row],[Month]])</f>
        <v>2023-March</v>
      </c>
      <c r="E365">
        <v>174.3</v>
      </c>
      <c r="F365">
        <v>205.2</v>
      </c>
      <c r="G365">
        <v>173.9</v>
      </c>
      <c r="H365">
        <v>177</v>
      </c>
      <c r="I365">
        <v>183.3</v>
      </c>
      <c r="J365">
        <v>167.2</v>
      </c>
      <c r="K365">
        <v>140.9</v>
      </c>
      <c r="L365">
        <v>170.5</v>
      </c>
      <c r="M365">
        <v>119.1</v>
      </c>
      <c r="N365">
        <v>212.1</v>
      </c>
      <c r="O365">
        <v>177.6</v>
      </c>
      <c r="P365">
        <v>189.9</v>
      </c>
      <c r="Q365">
        <v>174.8</v>
      </c>
      <c r="R365">
        <v>198.4</v>
      </c>
      <c r="S365">
        <v>190</v>
      </c>
      <c r="T365">
        <v>187</v>
      </c>
      <c r="U365">
        <v>189.6</v>
      </c>
      <c r="V365">
        <v>173.5</v>
      </c>
      <c r="W365">
        <v>181.4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</row>
    <row r="366" spans="1:31" x14ac:dyDescent="0.3">
      <c r="A366" t="s">
        <v>48</v>
      </c>
      <c r="B366">
        <v>2023</v>
      </c>
      <c r="C366" t="s">
        <v>51</v>
      </c>
      <c r="D366" t="str">
        <f>_xlfn.CONCAT(All_India_Index_Upto_April23__1___1[[#This Row],[Year]],"-",All_India_Index_Upto_April23__1___1[[#This Row],[Month]])</f>
        <v>2023-March</v>
      </c>
      <c r="E366">
        <v>174.7</v>
      </c>
      <c r="F366">
        <v>212.2</v>
      </c>
      <c r="G366">
        <v>177.2</v>
      </c>
      <c r="H366">
        <v>177.9</v>
      </c>
      <c r="I366">
        <v>172.2</v>
      </c>
      <c r="J366">
        <v>172.1</v>
      </c>
      <c r="K366">
        <v>175.9</v>
      </c>
      <c r="L366">
        <v>172.2</v>
      </c>
      <c r="M366">
        <v>121.9</v>
      </c>
      <c r="N366">
        <v>204.8</v>
      </c>
      <c r="O366">
        <v>164.9</v>
      </c>
      <c r="P366">
        <v>196.6</v>
      </c>
      <c r="Q366">
        <v>180.8</v>
      </c>
      <c r="R366">
        <v>202.7</v>
      </c>
      <c r="S366">
        <v>180.2</v>
      </c>
      <c r="T366">
        <v>167</v>
      </c>
      <c r="U366">
        <v>178.2</v>
      </c>
      <c r="V366">
        <v>173.5</v>
      </c>
      <c r="W366">
        <v>182.6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181.5</v>
      </c>
      <c r="AD366">
        <v>170</v>
      </c>
      <c r="AE366">
        <v>176.3</v>
      </c>
    </row>
    <row r="367" spans="1:31" x14ac:dyDescent="0.3">
      <c r="A367" t="s">
        <v>49</v>
      </c>
      <c r="B367">
        <v>2023</v>
      </c>
      <c r="C367" t="s">
        <v>51</v>
      </c>
      <c r="D367" t="str">
        <f>_xlfn.CONCAT(All_India_Index_Upto_April23__1___1[[#This Row],[Year]],"-",All_India_Index_Upto_April23__1___1[[#This Row],[Month]])</f>
        <v>2023-March</v>
      </c>
      <c r="E367">
        <v>174.4</v>
      </c>
      <c r="F367">
        <v>207.7</v>
      </c>
      <c r="G367">
        <v>175.2</v>
      </c>
      <c r="H367">
        <v>177.3</v>
      </c>
      <c r="I367">
        <v>179.2</v>
      </c>
      <c r="J367">
        <v>169.5</v>
      </c>
      <c r="K367">
        <v>152.80000000000001</v>
      </c>
      <c r="L367">
        <v>171.1</v>
      </c>
      <c r="M367">
        <v>120</v>
      </c>
      <c r="N367">
        <v>209.7</v>
      </c>
      <c r="O367">
        <v>172.3</v>
      </c>
      <c r="P367">
        <v>193</v>
      </c>
      <c r="Q367">
        <v>177</v>
      </c>
      <c r="R367">
        <v>199.5</v>
      </c>
      <c r="S367">
        <v>186.1</v>
      </c>
      <c r="T367">
        <v>178.7</v>
      </c>
      <c r="U367">
        <v>185.1</v>
      </c>
      <c r="V367">
        <v>173.5</v>
      </c>
      <c r="W367">
        <v>181.9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</row>
    <row r="368" spans="1:31" x14ac:dyDescent="0.3">
      <c r="A368" t="s">
        <v>46</v>
      </c>
      <c r="B368">
        <v>2023</v>
      </c>
      <c r="C368" t="s">
        <v>52</v>
      </c>
      <c r="D368" t="str">
        <f>_xlfn.CONCAT(All_India_Index_Upto_April23__1___1[[#This Row],[Year]],"-",All_India_Index_Upto_April23__1___1[[#This Row],[Month]])</f>
        <v>2023-April</v>
      </c>
      <c r="E368">
        <v>173.3</v>
      </c>
      <c r="F368">
        <v>206.9</v>
      </c>
      <c r="G368">
        <v>167.9</v>
      </c>
      <c r="H368">
        <v>178.2</v>
      </c>
      <c r="I368">
        <v>178.5</v>
      </c>
      <c r="J368">
        <v>173.7</v>
      </c>
      <c r="K368">
        <v>142.80000000000001</v>
      </c>
      <c r="L368">
        <v>172.8</v>
      </c>
      <c r="M368">
        <v>120.4</v>
      </c>
      <c r="N368">
        <v>215.5</v>
      </c>
      <c r="O368">
        <v>178.2</v>
      </c>
      <c r="P368">
        <v>190.5</v>
      </c>
      <c r="Q368">
        <v>175.5</v>
      </c>
      <c r="R368">
        <v>199.5</v>
      </c>
      <c r="S368">
        <v>190.7</v>
      </c>
      <c r="T368">
        <v>187.3</v>
      </c>
      <c r="U368">
        <v>190.2</v>
      </c>
      <c r="V368">
        <v>173.7</v>
      </c>
      <c r="W368">
        <v>181.5</v>
      </c>
      <c r="X368">
        <v>179.1</v>
      </c>
      <c r="Y368">
        <v>187.2</v>
      </c>
      <c r="Z368">
        <v>169.4</v>
      </c>
      <c r="AA368">
        <v>173.2</v>
      </c>
      <c r="AB368">
        <v>179.4</v>
      </c>
      <c r="AC368">
        <v>183.8</v>
      </c>
      <c r="AD368">
        <v>178.9</v>
      </c>
      <c r="AE368">
        <v>178.8</v>
      </c>
    </row>
    <row r="369" spans="1:31" x14ac:dyDescent="0.3">
      <c r="A369" t="s">
        <v>48</v>
      </c>
      <c r="B369">
        <v>2023</v>
      </c>
      <c r="C369" t="s">
        <v>52</v>
      </c>
      <c r="D369" t="str">
        <f>_xlfn.CONCAT(All_India_Index_Upto_April23__1___1[[#This Row],[Year]],"-",All_India_Index_Upto_April23__1___1[[#This Row],[Month]])</f>
        <v>2023-April</v>
      </c>
      <c r="E369">
        <v>174.8</v>
      </c>
      <c r="F369">
        <v>213.7</v>
      </c>
      <c r="G369">
        <v>172.4</v>
      </c>
      <c r="H369">
        <v>178.8</v>
      </c>
      <c r="I369">
        <v>168.7</v>
      </c>
      <c r="J369">
        <v>179.2</v>
      </c>
      <c r="K369">
        <v>179.9</v>
      </c>
      <c r="L369">
        <v>174.7</v>
      </c>
      <c r="M369">
        <v>123.1</v>
      </c>
      <c r="N369">
        <v>207.8</v>
      </c>
      <c r="O369">
        <v>165.5</v>
      </c>
      <c r="P369">
        <v>197</v>
      </c>
      <c r="Q369">
        <v>182.1</v>
      </c>
      <c r="R369">
        <v>203.5</v>
      </c>
      <c r="S369">
        <v>181</v>
      </c>
      <c r="T369">
        <v>167.7</v>
      </c>
      <c r="U369">
        <v>178.9</v>
      </c>
      <c r="V369">
        <v>175.2</v>
      </c>
      <c r="W369">
        <v>182.1</v>
      </c>
      <c r="X369">
        <v>169.6</v>
      </c>
      <c r="Y369">
        <v>181.5</v>
      </c>
      <c r="Z369">
        <v>160.1</v>
      </c>
      <c r="AA369">
        <v>168.8</v>
      </c>
      <c r="AB369">
        <v>174.2</v>
      </c>
      <c r="AC369">
        <v>184.4</v>
      </c>
      <c r="AD369">
        <v>170.9</v>
      </c>
      <c r="AE369">
        <v>177.4</v>
      </c>
    </row>
    <row r="370" spans="1:31" x14ac:dyDescent="0.3">
      <c r="A370" t="s">
        <v>49</v>
      </c>
      <c r="B370">
        <v>2023</v>
      </c>
      <c r="C370" t="s">
        <v>52</v>
      </c>
      <c r="D370" t="str">
        <f>_xlfn.CONCAT(All_India_Index_Upto_April23__1___1[[#This Row],[Year]],"-",All_India_Index_Upto_April23__1___1[[#This Row],[Month]])</f>
        <v>2023-April</v>
      </c>
      <c r="E370">
        <v>173.8</v>
      </c>
      <c r="F370">
        <v>209.3</v>
      </c>
      <c r="G370">
        <v>169.6</v>
      </c>
      <c r="H370">
        <v>178.4</v>
      </c>
      <c r="I370">
        <v>174.9</v>
      </c>
      <c r="J370">
        <v>176.3</v>
      </c>
      <c r="K370">
        <v>155.4</v>
      </c>
      <c r="L370">
        <v>173.4</v>
      </c>
      <c r="M370">
        <v>121.3</v>
      </c>
      <c r="N370">
        <v>212.9</v>
      </c>
      <c r="O370">
        <v>172.9</v>
      </c>
      <c r="P370">
        <v>193.5</v>
      </c>
      <c r="Q370">
        <v>177.9</v>
      </c>
      <c r="R370">
        <v>200.6</v>
      </c>
      <c r="S370">
        <v>186.9</v>
      </c>
      <c r="T370">
        <v>179.2</v>
      </c>
      <c r="U370">
        <v>185.7</v>
      </c>
      <c r="V370">
        <v>175.2</v>
      </c>
      <c r="W370">
        <v>181.7</v>
      </c>
      <c r="X370">
        <v>174.6</v>
      </c>
      <c r="Y370">
        <v>185</v>
      </c>
      <c r="Z370">
        <v>164.5</v>
      </c>
      <c r="AA370">
        <v>170.7</v>
      </c>
      <c r="AB370">
        <v>176.4</v>
      </c>
      <c r="AC370">
        <v>184</v>
      </c>
      <c r="AD370">
        <v>175</v>
      </c>
      <c r="AE370">
        <v>178.1</v>
      </c>
    </row>
    <row r="371" spans="1:31" x14ac:dyDescent="0.3">
      <c r="A371" t="s">
        <v>46</v>
      </c>
      <c r="B371">
        <v>2023</v>
      </c>
      <c r="C371" t="s">
        <v>53</v>
      </c>
      <c r="D371" t="str">
        <f>_xlfn.CONCAT(All_India_Index_Upto_April23__1___1[[#This Row],[Year]],"-",All_India_Index_Upto_April23__1___1[[#This Row],[Month]])</f>
        <v>2023-May</v>
      </c>
      <c r="E371">
        <v>173.2</v>
      </c>
      <c r="F371">
        <v>211.5</v>
      </c>
      <c r="G371">
        <v>171</v>
      </c>
      <c r="H371">
        <v>179.6</v>
      </c>
      <c r="I371">
        <v>173.3</v>
      </c>
      <c r="J371">
        <v>169</v>
      </c>
      <c r="K371">
        <v>148.69999999999999</v>
      </c>
      <c r="L371">
        <v>174.9</v>
      </c>
      <c r="M371">
        <v>121.9</v>
      </c>
      <c r="N371">
        <v>221</v>
      </c>
      <c r="O371">
        <v>178.7</v>
      </c>
      <c r="P371">
        <v>191.1</v>
      </c>
      <c r="Q371">
        <v>176.8</v>
      </c>
      <c r="R371">
        <v>199.9</v>
      </c>
      <c r="S371">
        <v>191.2</v>
      </c>
      <c r="T371">
        <v>187.9</v>
      </c>
      <c r="U371">
        <v>190.8</v>
      </c>
      <c r="V371">
        <v>173.7</v>
      </c>
      <c r="W371">
        <v>182.5</v>
      </c>
      <c r="X371">
        <v>179.8</v>
      </c>
      <c r="Y371">
        <v>187.8</v>
      </c>
      <c r="Z371">
        <v>169.7</v>
      </c>
      <c r="AA371">
        <v>173.8</v>
      </c>
      <c r="AB371">
        <v>180.3</v>
      </c>
      <c r="AC371">
        <v>184.9</v>
      </c>
      <c r="AD371">
        <v>179.5</v>
      </c>
      <c r="AE371">
        <v>179.8</v>
      </c>
    </row>
    <row r="372" spans="1:31" x14ac:dyDescent="0.3">
      <c r="A372" t="s">
        <v>48</v>
      </c>
      <c r="B372">
        <v>2023</v>
      </c>
      <c r="C372" t="s">
        <v>53</v>
      </c>
      <c r="D372" t="str">
        <f>_xlfn.CONCAT(All_India_Index_Upto_April23__1___1[[#This Row],[Year]],"-",All_India_Index_Upto_April23__1___1[[#This Row],[Month]])</f>
        <v>2023-May</v>
      </c>
      <c r="E372">
        <v>174.7</v>
      </c>
      <c r="F372">
        <v>219.4</v>
      </c>
      <c r="G372">
        <v>176.7</v>
      </c>
      <c r="H372">
        <v>179.4</v>
      </c>
      <c r="I372">
        <v>164.4</v>
      </c>
      <c r="J372">
        <v>175.8</v>
      </c>
      <c r="K372">
        <v>185</v>
      </c>
      <c r="L372">
        <v>176.9</v>
      </c>
      <c r="M372">
        <v>124.2</v>
      </c>
      <c r="N372">
        <v>211.9</v>
      </c>
      <c r="O372">
        <v>165.9</v>
      </c>
      <c r="P372">
        <v>197.7</v>
      </c>
      <c r="Q372">
        <v>183.1</v>
      </c>
      <c r="R372">
        <v>204.2</v>
      </c>
      <c r="S372">
        <v>181.3</v>
      </c>
      <c r="T372">
        <v>168.1</v>
      </c>
      <c r="U372">
        <v>179.3</v>
      </c>
      <c r="V372">
        <v>175.6</v>
      </c>
      <c r="W372">
        <v>183.4</v>
      </c>
      <c r="X372">
        <v>170.1</v>
      </c>
      <c r="Y372">
        <v>182.2</v>
      </c>
      <c r="Z372">
        <v>160.4</v>
      </c>
      <c r="AA372">
        <v>169.2</v>
      </c>
      <c r="AB372">
        <v>174.8</v>
      </c>
      <c r="AC372">
        <v>185.6</v>
      </c>
      <c r="AD372">
        <v>171.6</v>
      </c>
      <c r="AE372">
        <v>178.2</v>
      </c>
    </row>
    <row r="373" spans="1:31" x14ac:dyDescent="0.3">
      <c r="A373" t="s">
        <v>49</v>
      </c>
      <c r="B373">
        <v>2023</v>
      </c>
      <c r="C373" t="s">
        <v>53</v>
      </c>
      <c r="D373" t="str">
        <f>_xlfn.CONCAT(All_India_Index_Upto_April23__1___1[[#This Row],[Year]],"-",All_India_Index_Upto_April23__1___1[[#This Row],[Month]])</f>
        <v>2023-May</v>
      </c>
      <c r="E373">
        <v>173.7</v>
      </c>
      <c r="F373">
        <v>214.3</v>
      </c>
      <c r="G373">
        <v>173.2</v>
      </c>
      <c r="H373">
        <v>179.5</v>
      </c>
      <c r="I373">
        <v>170</v>
      </c>
      <c r="J373">
        <v>172.2</v>
      </c>
      <c r="K373">
        <v>161</v>
      </c>
      <c r="L373">
        <v>175.6</v>
      </c>
      <c r="M373">
        <v>122.7</v>
      </c>
      <c r="N373">
        <v>218</v>
      </c>
      <c r="O373">
        <v>173.4</v>
      </c>
      <c r="P373">
        <v>194.2</v>
      </c>
      <c r="Q373">
        <v>179.1</v>
      </c>
      <c r="R373">
        <v>201</v>
      </c>
      <c r="S373">
        <v>187.3</v>
      </c>
      <c r="T373">
        <v>179.7</v>
      </c>
      <c r="U373">
        <v>186.2</v>
      </c>
      <c r="V373">
        <v>175.6</v>
      </c>
      <c r="W373">
        <v>182.8</v>
      </c>
      <c r="X373">
        <v>175.2</v>
      </c>
      <c r="Y373">
        <v>185.7</v>
      </c>
      <c r="Z373">
        <v>164.8</v>
      </c>
      <c r="AA373">
        <v>171.2</v>
      </c>
      <c r="AB373">
        <v>177.1</v>
      </c>
      <c r="AC373">
        <v>185.2</v>
      </c>
      <c r="AD373">
        <v>175.7</v>
      </c>
      <c r="AE373">
        <v>179.1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9CAC-F534-4BBB-AD54-EC12CD358A6A}">
  <dimension ref="A1:T83"/>
  <sheetViews>
    <sheetView showGridLines="0" zoomScaleNormal="100" workbookViewId="0">
      <selection activeCell="A66" sqref="A66:M66"/>
    </sheetView>
  </sheetViews>
  <sheetFormatPr defaultRowHeight="14.4" x14ac:dyDescent="0.3"/>
  <cols>
    <col min="1" max="1" width="30.44140625" style="10" customWidth="1"/>
    <col min="2" max="2" width="29.77734375" style="10" customWidth="1"/>
    <col min="3" max="3" width="16.6640625" style="10" customWidth="1"/>
    <col min="4" max="10" width="8.88671875" style="10"/>
    <col min="11" max="20" width="8.88671875" style="10" customWidth="1"/>
    <col min="21" max="16384" width="8.88671875" style="10"/>
  </cols>
  <sheetData>
    <row r="1" spans="1:20" s="9" customFormat="1" ht="16.8" customHeight="1" thickBot="1" x14ac:dyDescent="0.35">
      <c r="A1" s="7" t="s">
        <v>154</v>
      </c>
      <c r="B1" s="8"/>
      <c r="C1" s="8"/>
      <c r="D1" s="8"/>
      <c r="E1" s="8"/>
    </row>
    <row r="2" spans="1:20" x14ac:dyDescent="0.3">
      <c r="A2" s="52" t="s">
        <v>0</v>
      </c>
      <c r="B2" s="53" t="s">
        <v>155</v>
      </c>
      <c r="C2" s="54"/>
      <c r="D2" s="54"/>
      <c r="E2" s="54"/>
      <c r="F2" s="54"/>
      <c r="G2" s="54"/>
      <c r="H2" s="54"/>
      <c r="I2" s="54"/>
      <c r="J2" s="54"/>
      <c r="K2" s="55"/>
      <c r="L2" s="11"/>
      <c r="M2" s="11"/>
      <c r="N2" s="11"/>
      <c r="O2" s="11"/>
      <c r="P2" s="11"/>
      <c r="Q2" s="11"/>
      <c r="R2" s="11"/>
      <c r="S2" s="11"/>
      <c r="T2" s="11"/>
    </row>
    <row r="3" spans="1:20" ht="28.2" customHeight="1" x14ac:dyDescent="0.3">
      <c r="A3" s="12" t="s">
        <v>1</v>
      </c>
      <c r="B3" s="95" t="s">
        <v>2</v>
      </c>
      <c r="C3" s="96"/>
      <c r="D3" s="96"/>
      <c r="E3" s="96"/>
      <c r="F3" s="96"/>
      <c r="G3" s="96"/>
      <c r="H3" s="96"/>
      <c r="I3" s="96"/>
      <c r="J3" s="96"/>
      <c r="K3" s="97"/>
      <c r="L3" s="13"/>
      <c r="M3" s="13"/>
      <c r="N3" s="13"/>
      <c r="O3" s="13"/>
      <c r="P3" s="13"/>
      <c r="Q3" s="13"/>
      <c r="R3" s="13"/>
      <c r="S3" s="13"/>
      <c r="T3" s="13"/>
    </row>
    <row r="4" spans="1:20" x14ac:dyDescent="0.3">
      <c r="A4" s="12" t="s">
        <v>3</v>
      </c>
      <c r="B4" s="89" t="s">
        <v>4</v>
      </c>
      <c r="C4" s="90"/>
      <c r="D4" s="90"/>
      <c r="E4" s="90"/>
      <c r="F4" s="90"/>
      <c r="G4" s="90"/>
      <c r="H4" s="90"/>
      <c r="I4" s="90"/>
      <c r="J4" s="90"/>
      <c r="K4" s="91"/>
      <c r="L4" s="13"/>
      <c r="M4" s="13"/>
      <c r="N4" s="13"/>
      <c r="O4" s="13"/>
      <c r="P4" s="13"/>
      <c r="Q4" s="13"/>
      <c r="R4" s="13"/>
      <c r="S4" s="13"/>
      <c r="T4" s="13"/>
    </row>
    <row r="5" spans="1:20" x14ac:dyDescent="0.3">
      <c r="A5" s="12" t="s">
        <v>5</v>
      </c>
      <c r="B5" s="89" t="s">
        <v>6</v>
      </c>
      <c r="C5" s="90"/>
      <c r="D5" s="90"/>
      <c r="E5" s="90"/>
      <c r="F5" s="90"/>
      <c r="G5" s="90"/>
      <c r="H5" s="90"/>
      <c r="I5" s="90"/>
      <c r="J5" s="90"/>
      <c r="K5" s="91"/>
      <c r="L5" s="13"/>
      <c r="M5" s="13"/>
      <c r="N5" s="13"/>
      <c r="O5" s="13"/>
      <c r="P5" s="13"/>
      <c r="Q5" s="13"/>
      <c r="R5" s="13"/>
      <c r="S5" s="13"/>
      <c r="T5" s="13"/>
    </row>
    <row r="6" spans="1:20" x14ac:dyDescent="0.3">
      <c r="A6" s="12" t="s">
        <v>7</v>
      </c>
      <c r="B6" s="89" t="s">
        <v>7</v>
      </c>
      <c r="C6" s="90"/>
      <c r="D6" s="90"/>
      <c r="E6" s="90"/>
      <c r="F6" s="90"/>
      <c r="G6" s="90"/>
      <c r="H6" s="90"/>
      <c r="I6" s="90"/>
      <c r="J6" s="90"/>
      <c r="K6" s="91"/>
      <c r="L6" s="13"/>
      <c r="M6" s="13"/>
      <c r="N6" s="13"/>
      <c r="O6" s="13"/>
      <c r="P6" s="13"/>
      <c r="Q6" s="13"/>
      <c r="R6" s="13"/>
      <c r="S6" s="13"/>
      <c r="T6" s="13"/>
    </row>
    <row r="7" spans="1:20" x14ac:dyDescent="0.3">
      <c r="A7" s="12" t="s">
        <v>8</v>
      </c>
      <c r="B7" s="89" t="s">
        <v>8</v>
      </c>
      <c r="C7" s="90"/>
      <c r="D7" s="90"/>
      <c r="E7" s="90"/>
      <c r="F7" s="90"/>
      <c r="G7" s="90"/>
      <c r="H7" s="90"/>
      <c r="I7" s="90"/>
      <c r="J7" s="90"/>
      <c r="K7" s="91"/>
      <c r="L7" s="13"/>
      <c r="M7" s="13"/>
      <c r="N7" s="13"/>
      <c r="O7" s="13"/>
      <c r="P7" s="13"/>
      <c r="Q7" s="13"/>
      <c r="R7" s="13"/>
      <c r="S7" s="13"/>
      <c r="T7" s="13"/>
    </row>
    <row r="8" spans="1:20" x14ac:dyDescent="0.3">
      <c r="A8" s="12" t="s">
        <v>9</v>
      </c>
      <c r="B8" s="89" t="s">
        <v>9</v>
      </c>
      <c r="C8" s="90"/>
      <c r="D8" s="90"/>
      <c r="E8" s="90"/>
      <c r="F8" s="90"/>
      <c r="G8" s="90"/>
      <c r="H8" s="90"/>
      <c r="I8" s="90"/>
      <c r="J8" s="90"/>
      <c r="K8" s="91"/>
      <c r="L8" s="13"/>
      <c r="M8" s="13"/>
      <c r="N8" s="13"/>
      <c r="O8" s="13"/>
      <c r="P8" s="13"/>
      <c r="Q8" s="13"/>
      <c r="R8" s="13"/>
      <c r="S8" s="13"/>
      <c r="T8" s="13"/>
    </row>
    <row r="9" spans="1:20" x14ac:dyDescent="0.3">
      <c r="A9" s="12" t="s">
        <v>10</v>
      </c>
      <c r="B9" s="89" t="s">
        <v>10</v>
      </c>
      <c r="C9" s="90"/>
      <c r="D9" s="90"/>
      <c r="E9" s="90"/>
      <c r="F9" s="90"/>
      <c r="G9" s="90"/>
      <c r="H9" s="90"/>
      <c r="I9" s="90"/>
      <c r="J9" s="90"/>
      <c r="K9" s="91"/>
      <c r="L9" s="13"/>
      <c r="M9" s="13"/>
      <c r="N9" s="13"/>
      <c r="O9" s="13"/>
      <c r="P9" s="13"/>
      <c r="Q9" s="13"/>
      <c r="R9" s="13"/>
      <c r="S9" s="13"/>
      <c r="T9" s="13"/>
    </row>
    <row r="10" spans="1:20" x14ac:dyDescent="0.3">
      <c r="A10" s="12" t="s">
        <v>11</v>
      </c>
      <c r="B10" s="89" t="s">
        <v>11</v>
      </c>
      <c r="C10" s="90"/>
      <c r="D10" s="90"/>
      <c r="E10" s="90"/>
      <c r="F10" s="90"/>
      <c r="G10" s="90"/>
      <c r="H10" s="90"/>
      <c r="I10" s="90"/>
      <c r="J10" s="90"/>
      <c r="K10" s="91"/>
      <c r="L10" s="13"/>
      <c r="M10" s="13"/>
      <c r="N10" s="13"/>
      <c r="O10" s="13"/>
      <c r="P10" s="13"/>
      <c r="Q10" s="13"/>
      <c r="R10" s="13"/>
      <c r="S10" s="13"/>
      <c r="T10" s="13"/>
    </row>
    <row r="11" spans="1:20" x14ac:dyDescent="0.3">
      <c r="A11" s="12" t="s">
        <v>12</v>
      </c>
      <c r="B11" s="89" t="s">
        <v>12</v>
      </c>
      <c r="C11" s="90"/>
      <c r="D11" s="90"/>
      <c r="E11" s="90"/>
      <c r="F11" s="90"/>
      <c r="G11" s="90"/>
      <c r="H11" s="90"/>
      <c r="I11" s="90"/>
      <c r="J11" s="90"/>
      <c r="K11" s="91"/>
      <c r="L11" s="13"/>
      <c r="M11" s="13"/>
      <c r="N11" s="13"/>
      <c r="O11" s="13"/>
      <c r="P11" s="13"/>
      <c r="Q11" s="13"/>
      <c r="R11" s="13"/>
      <c r="S11" s="13"/>
      <c r="T11" s="13"/>
    </row>
    <row r="12" spans="1:20" x14ac:dyDescent="0.3">
      <c r="A12" s="14" t="s">
        <v>13</v>
      </c>
      <c r="B12" s="89" t="s">
        <v>13</v>
      </c>
      <c r="C12" s="90"/>
      <c r="D12" s="90"/>
      <c r="E12" s="90"/>
      <c r="F12" s="90"/>
      <c r="G12" s="90"/>
      <c r="H12" s="90"/>
      <c r="I12" s="90"/>
      <c r="J12" s="90"/>
      <c r="K12" s="91"/>
      <c r="L12" s="13"/>
      <c r="M12" s="13"/>
      <c r="N12" s="13"/>
      <c r="O12" s="13"/>
      <c r="P12" s="13"/>
      <c r="Q12" s="13"/>
      <c r="R12" s="13"/>
      <c r="S12" s="13"/>
      <c r="T12" s="13"/>
    </row>
    <row r="13" spans="1:20" x14ac:dyDescent="0.3">
      <c r="A13" s="12" t="s">
        <v>14</v>
      </c>
      <c r="B13" s="89" t="s">
        <v>15</v>
      </c>
      <c r="C13" s="90"/>
      <c r="D13" s="90"/>
      <c r="E13" s="90"/>
      <c r="F13" s="90"/>
      <c r="G13" s="90"/>
      <c r="H13" s="90"/>
      <c r="I13" s="90"/>
      <c r="J13" s="90"/>
      <c r="K13" s="91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5" thickBot="1" x14ac:dyDescent="0.35">
      <c r="A14" s="15" t="s">
        <v>16</v>
      </c>
      <c r="B14" s="92" t="s">
        <v>16</v>
      </c>
      <c r="C14" s="93"/>
      <c r="D14" s="93"/>
      <c r="E14" s="93"/>
      <c r="F14" s="93"/>
      <c r="G14" s="93"/>
      <c r="H14" s="93"/>
      <c r="I14" s="93"/>
      <c r="J14" s="93"/>
      <c r="K14" s="94"/>
      <c r="L14" s="13"/>
      <c r="M14" s="13"/>
      <c r="N14" s="13"/>
      <c r="O14" s="13"/>
      <c r="P14" s="13"/>
      <c r="Q14" s="13"/>
      <c r="R14" s="13"/>
      <c r="S14" s="13"/>
      <c r="T14" s="13"/>
    </row>
    <row r="16" spans="1:20" ht="25.8" x14ac:dyDescent="0.5">
      <c r="A16" s="16" t="s">
        <v>156</v>
      </c>
      <c r="B16" s="17"/>
      <c r="C16" s="17"/>
      <c r="D16" s="17"/>
    </row>
    <row r="17" spans="1:2" x14ac:dyDescent="0.3">
      <c r="A17" s="50" t="s">
        <v>0</v>
      </c>
      <c r="B17" s="50" t="s">
        <v>31</v>
      </c>
    </row>
    <row r="18" spans="1:2" x14ac:dyDescent="0.3">
      <c r="A18" s="4" t="s">
        <v>1</v>
      </c>
      <c r="B18" s="5">
        <v>177.316666666667</v>
      </c>
    </row>
    <row r="19" spans="1:2" x14ac:dyDescent="0.3">
      <c r="A19" s="4" t="s">
        <v>3</v>
      </c>
      <c r="B19" s="4">
        <v>201</v>
      </c>
    </row>
    <row r="20" spans="1:2" x14ac:dyDescent="0.3">
      <c r="A20" s="4" t="s">
        <v>5</v>
      </c>
      <c r="B20" s="4">
        <v>183.5</v>
      </c>
    </row>
    <row r="21" spans="1:2" x14ac:dyDescent="0.3">
      <c r="A21" s="4" t="s">
        <v>7</v>
      </c>
      <c r="B21" s="4">
        <v>175.6</v>
      </c>
    </row>
    <row r="22" spans="1:2" x14ac:dyDescent="0.3">
      <c r="A22" s="4" t="s">
        <v>8</v>
      </c>
      <c r="B22" s="4">
        <v>182.8</v>
      </c>
    </row>
    <row r="23" spans="1:2" x14ac:dyDescent="0.3">
      <c r="A23" s="4" t="s">
        <v>9</v>
      </c>
      <c r="B23" s="4">
        <v>175.2</v>
      </c>
    </row>
    <row r="24" spans="1:2" x14ac:dyDescent="0.3">
      <c r="A24" s="4" t="s">
        <v>10</v>
      </c>
      <c r="B24" s="4">
        <v>185.7</v>
      </c>
    </row>
    <row r="25" spans="1:2" x14ac:dyDescent="0.3">
      <c r="A25" s="4" t="s">
        <v>11</v>
      </c>
      <c r="B25" s="4">
        <v>164.8</v>
      </c>
    </row>
    <row r="26" spans="1:2" x14ac:dyDescent="0.3">
      <c r="A26" s="4" t="s">
        <v>12</v>
      </c>
      <c r="B26" s="6">
        <v>171.2</v>
      </c>
    </row>
    <row r="27" spans="1:2" x14ac:dyDescent="0.3">
      <c r="A27" s="4" t="s">
        <v>13</v>
      </c>
      <c r="B27" s="6">
        <v>177.1</v>
      </c>
    </row>
    <row r="28" spans="1:2" x14ac:dyDescent="0.3">
      <c r="A28" s="4" t="s">
        <v>14</v>
      </c>
      <c r="B28" s="6">
        <v>185.2</v>
      </c>
    </row>
    <row r="29" spans="1:2" x14ac:dyDescent="0.3">
      <c r="A29" s="4" t="s">
        <v>16</v>
      </c>
      <c r="B29" s="6">
        <v>175.7</v>
      </c>
    </row>
    <row r="31" spans="1:2" ht="18" x14ac:dyDescent="0.35">
      <c r="A31" s="16" t="s">
        <v>32</v>
      </c>
    </row>
    <row r="32" spans="1:2" x14ac:dyDescent="0.3">
      <c r="A32" s="24" t="s">
        <v>124</v>
      </c>
      <c r="B32" s="25">
        <f>SUM(B18:B29)</f>
        <v>2155.1166666666672</v>
      </c>
    </row>
    <row r="33" spans="1:4" s="56" customFormat="1" x14ac:dyDescent="0.3">
      <c r="B33" s="57"/>
    </row>
    <row r="34" spans="1:4" ht="15.6" x14ac:dyDescent="0.3">
      <c r="A34" s="24" t="s">
        <v>125</v>
      </c>
      <c r="B34" s="26"/>
    </row>
    <row r="35" spans="1:4" x14ac:dyDescent="0.3">
      <c r="A35" s="50" t="s">
        <v>0</v>
      </c>
      <c r="B35" s="50" t="s">
        <v>33</v>
      </c>
    </row>
    <row r="36" spans="1:4" x14ac:dyDescent="0.3">
      <c r="A36" s="29" t="s">
        <v>3</v>
      </c>
      <c r="B36" s="28">
        <v>9.3266412491203106</v>
      </c>
      <c r="C36" s="27" t="s">
        <v>134</v>
      </c>
      <c r="D36" s="19"/>
    </row>
    <row r="37" spans="1:4" x14ac:dyDescent="0.3">
      <c r="A37" s="4" t="s">
        <v>10</v>
      </c>
      <c r="B37" s="5">
        <v>8.616702885381299</v>
      </c>
    </row>
    <row r="38" spans="1:4" x14ac:dyDescent="0.3">
      <c r="A38" s="4" t="s">
        <v>14</v>
      </c>
      <c r="B38" s="5">
        <v>8.5935022852591096</v>
      </c>
    </row>
    <row r="39" spans="1:4" x14ac:dyDescent="0.3">
      <c r="A39" s="4" t="s">
        <v>5</v>
      </c>
      <c r="B39" s="5">
        <v>8.5146202448436643</v>
      </c>
    </row>
    <row r="40" spans="1:4" x14ac:dyDescent="0.3">
      <c r="A40" s="4" t="s">
        <v>8</v>
      </c>
      <c r="B40" s="5">
        <v>8.4821394046725995</v>
      </c>
    </row>
    <row r="41" spans="1:4" x14ac:dyDescent="0.3">
      <c r="A41" s="4" t="s">
        <v>1</v>
      </c>
      <c r="B41" s="5">
        <v>8.2277061566659331</v>
      </c>
    </row>
    <row r="42" spans="1:4" x14ac:dyDescent="0.3">
      <c r="A42" s="4" t="s">
        <v>13</v>
      </c>
      <c r="B42" s="5">
        <v>8.2176525632796338</v>
      </c>
    </row>
    <row r="43" spans="1:4" x14ac:dyDescent="0.3">
      <c r="A43" s="4" t="s">
        <v>16</v>
      </c>
      <c r="B43" s="5">
        <v>8.1526908829375024</v>
      </c>
    </row>
    <row r="44" spans="1:4" x14ac:dyDescent="0.3">
      <c r="A44" s="4" t="s">
        <v>7</v>
      </c>
      <c r="B44" s="5">
        <v>8.1480507629130638</v>
      </c>
    </row>
    <row r="45" spans="1:4" x14ac:dyDescent="0.3">
      <c r="A45" s="4" t="s">
        <v>9</v>
      </c>
      <c r="B45" s="5">
        <v>8.1294902828153131</v>
      </c>
    </row>
    <row r="46" spans="1:4" x14ac:dyDescent="0.3">
      <c r="A46" s="4" t="s">
        <v>12</v>
      </c>
      <c r="B46" s="5">
        <v>7.9438854818377935</v>
      </c>
    </row>
    <row r="47" spans="1:4" x14ac:dyDescent="0.3">
      <c r="A47" s="29" t="s">
        <v>11</v>
      </c>
      <c r="B47" s="28">
        <v>7.6469178002737657</v>
      </c>
      <c r="C47" s="27" t="s">
        <v>135</v>
      </c>
    </row>
    <row r="65" spans="1:14" ht="18" x14ac:dyDescent="0.35">
      <c r="A65" s="37" t="s">
        <v>172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spans="1:14" x14ac:dyDescent="0.3">
      <c r="A66" s="88" t="s">
        <v>126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35"/>
    </row>
    <row r="67" spans="1:14" x14ac:dyDescent="0.3">
      <c r="A67" s="38" t="s">
        <v>130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1:14" x14ac:dyDescent="0.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x14ac:dyDescent="0.3">
      <c r="A69" s="88" t="s">
        <v>127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35"/>
      <c r="N69" s="35"/>
    </row>
    <row r="70" spans="1:14" x14ac:dyDescent="0.3">
      <c r="A70" s="39" t="s">
        <v>131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spans="1:14" x14ac:dyDescent="0.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1:14" x14ac:dyDescent="0.3">
      <c r="A72" s="40" t="s">
        <v>128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1:14" x14ac:dyDescent="0.3">
      <c r="A73" s="38" t="s">
        <v>132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1:14" ht="15.6" x14ac:dyDescent="0.3">
      <c r="A74" s="41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spans="1:14" x14ac:dyDescent="0.3">
      <c r="A75" s="40" t="s">
        <v>129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x14ac:dyDescent="0.3">
      <c r="A76" s="38" t="s">
        <v>133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1:14" ht="15.6" x14ac:dyDescent="0.3">
      <c r="A77" s="21"/>
    </row>
    <row r="78" spans="1:14" ht="15.6" x14ac:dyDescent="0.3">
      <c r="A78" s="21"/>
    </row>
    <row r="79" spans="1:14" ht="15.6" x14ac:dyDescent="0.3">
      <c r="A79" s="18"/>
    </row>
    <row r="80" spans="1:14" ht="15.6" x14ac:dyDescent="0.3">
      <c r="A80" s="20"/>
    </row>
    <row r="81" spans="1:1" ht="15.6" x14ac:dyDescent="0.3">
      <c r="A81" s="20"/>
    </row>
    <row r="82" spans="1:1" ht="15.6" x14ac:dyDescent="0.3">
      <c r="A82" s="18"/>
    </row>
    <row r="83" spans="1:1" ht="15.6" x14ac:dyDescent="0.3">
      <c r="A83" s="21"/>
    </row>
  </sheetData>
  <sortState xmlns:xlrd2="http://schemas.microsoft.com/office/spreadsheetml/2017/richdata2" ref="A36:B47">
    <sortCondition descending="1" ref="B36:B47"/>
  </sortState>
  <mergeCells count="14">
    <mergeCell ref="B8:K8"/>
    <mergeCell ref="B9:K9"/>
    <mergeCell ref="B3:K3"/>
    <mergeCell ref="B4:K4"/>
    <mergeCell ref="B5:K5"/>
    <mergeCell ref="B6:K6"/>
    <mergeCell ref="B7:K7"/>
    <mergeCell ref="A66:M66"/>
    <mergeCell ref="A69:L69"/>
    <mergeCell ref="B10:K10"/>
    <mergeCell ref="B11:K11"/>
    <mergeCell ref="B12:K12"/>
    <mergeCell ref="B13:K13"/>
    <mergeCell ref="B14:K14"/>
  </mergeCells>
  <phoneticPr fontId="1" type="noConversion"/>
  <conditionalFormatting sqref="B36:B4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{DB7D540F-1559-44F1-AEB0-97EA5FFC5ACC}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7D540F-1559-44F1-AEB0-97EA5FFC5A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B36:B47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0B66-83E2-4C96-83FC-553989CE6CE1}">
  <dimension ref="A1:U57"/>
  <sheetViews>
    <sheetView showGridLines="0" zoomScale="80" zoomScaleNormal="80" workbookViewId="0">
      <selection activeCell="G35" sqref="G35"/>
    </sheetView>
  </sheetViews>
  <sheetFormatPr defaultRowHeight="14.4" x14ac:dyDescent="0.3"/>
  <cols>
    <col min="1" max="1" width="9.21875" style="10" bestFit="1" customWidth="1"/>
    <col min="2" max="16384" width="8.88671875" style="10"/>
  </cols>
  <sheetData>
    <row r="1" spans="1:11" ht="18" x14ac:dyDescent="0.35">
      <c r="A1" s="98" t="s">
        <v>157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x14ac:dyDescent="0.3">
      <c r="A2" s="33" t="s">
        <v>34</v>
      </c>
      <c r="B2" s="105" t="s">
        <v>35</v>
      </c>
      <c r="C2" s="105"/>
      <c r="D2" s="105" t="s">
        <v>36</v>
      </c>
      <c r="E2" s="105"/>
    </row>
    <row r="3" spans="1:11" x14ac:dyDescent="0.3">
      <c r="A3" s="30">
        <v>2017</v>
      </c>
      <c r="B3" s="100">
        <v>133.38611111111112</v>
      </c>
      <c r="C3" s="100"/>
      <c r="D3" s="100">
        <v>3.3230054221533631</v>
      </c>
      <c r="E3" s="100"/>
      <c r="F3" s="31"/>
    </row>
    <row r="4" spans="1:11" x14ac:dyDescent="0.3">
      <c r="A4" s="30">
        <v>2018</v>
      </c>
      <c r="B4" s="100">
        <v>138.66944444444442</v>
      </c>
      <c r="C4" s="100"/>
      <c r="D4" s="100">
        <v>3.96093213103144</v>
      </c>
      <c r="E4" s="100"/>
      <c r="F4" s="31"/>
    </row>
    <row r="5" spans="1:11" x14ac:dyDescent="0.3">
      <c r="A5" s="30">
        <v>2019</v>
      </c>
      <c r="B5" s="100">
        <v>144.12727272727273</v>
      </c>
      <c r="C5" s="100"/>
      <c r="D5" s="100">
        <v>3.9358550145593822</v>
      </c>
      <c r="E5" s="100"/>
      <c r="F5" s="31"/>
    </row>
    <row r="6" spans="1:11" x14ac:dyDescent="0.3">
      <c r="A6" s="30">
        <v>2020</v>
      </c>
      <c r="B6" s="100">
        <v>153.32499999999996</v>
      </c>
      <c r="C6" s="100"/>
      <c r="D6" s="100">
        <v>6.3816702409486306</v>
      </c>
      <c r="E6" s="100"/>
      <c r="F6" s="31"/>
    </row>
    <row r="7" spans="1:11" x14ac:dyDescent="0.3">
      <c r="A7" s="30">
        <v>2021</v>
      </c>
      <c r="B7" s="100">
        <v>161.41666666666669</v>
      </c>
      <c r="C7" s="100"/>
      <c r="D7" s="100">
        <v>5.2774607315615372</v>
      </c>
      <c r="E7" s="100"/>
      <c r="F7" s="31"/>
    </row>
    <row r="8" spans="1:11" x14ac:dyDescent="0.3">
      <c r="A8" s="32">
        <v>2022</v>
      </c>
      <c r="B8" s="99">
        <v>172.07500000000005</v>
      </c>
      <c r="C8" s="99"/>
      <c r="D8" s="99">
        <v>6.6029943211151423</v>
      </c>
      <c r="E8" s="99"/>
      <c r="F8" s="27" t="s">
        <v>134</v>
      </c>
    </row>
    <row r="9" spans="1:11" x14ac:dyDescent="0.3">
      <c r="A9" s="30">
        <v>2023</v>
      </c>
      <c r="B9" s="100">
        <v>177.57333333333332</v>
      </c>
      <c r="C9" s="100"/>
      <c r="D9" s="100">
        <v>3.1953121216523472</v>
      </c>
      <c r="E9" s="100"/>
      <c r="F9" s="31"/>
    </row>
    <row r="29" spans="1:21" ht="18" x14ac:dyDescent="0.35">
      <c r="A29" s="101" t="s">
        <v>172</v>
      </c>
      <c r="B29" s="102"/>
      <c r="C29" s="10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3">
      <c r="A30" s="103" t="s">
        <v>136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</row>
    <row r="31" spans="1:21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ht="18" x14ac:dyDescent="0.3">
      <c r="A32" s="48" t="s">
        <v>137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5"/>
      <c r="U32" s="35"/>
    </row>
    <row r="33" spans="1:21" x14ac:dyDescent="0.3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5"/>
      <c r="U33" s="35"/>
    </row>
    <row r="34" spans="1:21" x14ac:dyDescent="0.3">
      <c r="A34" s="88" t="s">
        <v>138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</row>
    <row r="35" spans="1:21" x14ac:dyDescent="0.3">
      <c r="A35" s="35" t="s">
        <v>139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5"/>
      <c r="U35" s="35"/>
    </row>
    <row r="36" spans="1:21" x14ac:dyDescent="0.3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5"/>
      <c r="U36" s="35"/>
    </row>
    <row r="37" spans="1:21" x14ac:dyDescent="0.3">
      <c r="A37" s="88" t="s">
        <v>140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</row>
    <row r="38" spans="1:21" x14ac:dyDescent="0.3">
      <c r="A38" s="35" t="s">
        <v>141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5"/>
      <c r="U38" s="35"/>
    </row>
    <row r="39" spans="1:21" x14ac:dyDescent="0.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3">
      <c r="A40" s="88" t="s">
        <v>142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</row>
    <row r="41" spans="1:21" x14ac:dyDescent="0.3">
      <c r="A41" s="35" t="s">
        <v>143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ht="13.2" customHeight="1" x14ac:dyDescent="0.3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5"/>
      <c r="U42" s="35"/>
    </row>
    <row r="43" spans="1:21" x14ac:dyDescent="0.3">
      <c r="A43" s="88" t="s">
        <v>144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</row>
    <row r="44" spans="1:21" x14ac:dyDescent="0.3">
      <c r="A44" s="35" t="s">
        <v>145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 spans="1:21" x14ac:dyDescent="0.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spans="1:21" x14ac:dyDescent="0.3">
      <c r="A46" s="88" t="s">
        <v>146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</row>
    <row r="47" spans="1:21" x14ac:dyDescent="0.3">
      <c r="A47" s="35" t="s">
        <v>147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9" spans="1:14" ht="18" x14ac:dyDescent="0.3">
      <c r="A49" s="49" t="s">
        <v>148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spans="1:14" x14ac:dyDescent="0.3">
      <c r="A51" s="34" t="s">
        <v>149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spans="1:14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1:14" x14ac:dyDescent="0.3">
      <c r="A53" s="34" t="s">
        <v>150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1:14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</row>
    <row r="55" spans="1:14" x14ac:dyDescent="0.3">
      <c r="A55" s="34" t="s">
        <v>151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1:14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spans="1:14" x14ac:dyDescent="0.3">
      <c r="A57" s="34" t="s">
        <v>152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</row>
  </sheetData>
  <mergeCells count="24">
    <mergeCell ref="B7:C7"/>
    <mergeCell ref="B8:C8"/>
    <mergeCell ref="B9:C9"/>
    <mergeCell ref="A1:K1"/>
    <mergeCell ref="D8:E8"/>
    <mergeCell ref="D9:E9"/>
    <mergeCell ref="A29:C29"/>
    <mergeCell ref="A30:U30"/>
    <mergeCell ref="D2:E2"/>
    <mergeCell ref="D3:E3"/>
    <mergeCell ref="D4:E4"/>
    <mergeCell ref="D5:E5"/>
    <mergeCell ref="D6:E6"/>
    <mergeCell ref="D7:E7"/>
    <mergeCell ref="B2:C2"/>
    <mergeCell ref="B3:C3"/>
    <mergeCell ref="B4:C4"/>
    <mergeCell ref="B5:C5"/>
    <mergeCell ref="B6:C6"/>
    <mergeCell ref="A34:U34"/>
    <mergeCell ref="A37:U37"/>
    <mergeCell ref="A40:U40"/>
    <mergeCell ref="A43:U43"/>
    <mergeCell ref="A46:U46"/>
  </mergeCells>
  <conditionalFormatting sqref="D3: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{3E70666B-F73C-4836-A68F-1BFAEA4BFCA3}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70666B-F73C-4836-A68F-1BFAEA4BFC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D3:E9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79CF-7DC7-4BAD-A9DF-6469C5C66788}">
  <dimension ref="A1:L97"/>
  <sheetViews>
    <sheetView showGridLines="0" zoomScaleNormal="100" workbookViewId="0">
      <selection activeCell="E40" sqref="E40"/>
    </sheetView>
  </sheetViews>
  <sheetFormatPr defaultRowHeight="14.4" x14ac:dyDescent="0.3"/>
  <cols>
    <col min="1" max="1" width="30.44140625" style="10" customWidth="1"/>
    <col min="2" max="2" width="20.109375" style="10" bestFit="1" customWidth="1"/>
    <col min="3" max="3" width="27" style="10" customWidth="1"/>
    <col min="4" max="4" width="26.77734375" style="10" customWidth="1"/>
    <col min="5" max="5" width="22" style="10" bestFit="1" customWidth="1"/>
    <col min="6" max="6" width="15.77734375" style="10" bestFit="1" customWidth="1"/>
    <col min="7" max="7" width="12.6640625" style="10" bestFit="1" customWidth="1"/>
    <col min="8" max="8" width="14.21875" style="10" bestFit="1" customWidth="1"/>
    <col min="9" max="9" width="27.44140625" style="10" bestFit="1" customWidth="1"/>
    <col min="10" max="10" width="30.109375" style="10" bestFit="1" customWidth="1"/>
    <col min="11" max="11" width="12.6640625" style="10" bestFit="1" customWidth="1"/>
    <col min="12" max="12" width="44.77734375" style="10" bestFit="1" customWidth="1"/>
    <col min="13" max="16384" width="8.88671875" style="10"/>
  </cols>
  <sheetData>
    <row r="1" spans="1:12" ht="18" x14ac:dyDescent="0.35">
      <c r="A1" s="23" t="s">
        <v>158</v>
      </c>
    </row>
    <row r="2" spans="1:12" x14ac:dyDescent="0.3">
      <c r="A2" s="50" t="s">
        <v>62</v>
      </c>
      <c r="B2" s="50" t="s">
        <v>18</v>
      </c>
      <c r="C2" s="50" t="s">
        <v>19</v>
      </c>
      <c r="D2" s="50" t="s">
        <v>20</v>
      </c>
      <c r="E2" s="50" t="s">
        <v>21</v>
      </c>
      <c r="F2" s="50" t="s">
        <v>22</v>
      </c>
      <c r="G2" s="50" t="s">
        <v>23</v>
      </c>
      <c r="H2" s="50" t="s">
        <v>24</v>
      </c>
      <c r="I2" s="50" t="s">
        <v>25</v>
      </c>
      <c r="J2" s="50" t="s">
        <v>39</v>
      </c>
      <c r="K2" s="50" t="s">
        <v>26</v>
      </c>
      <c r="L2" s="50" t="s">
        <v>28</v>
      </c>
    </row>
    <row r="3" spans="1:12" x14ac:dyDescent="0.3">
      <c r="A3" s="43" t="s">
        <v>101</v>
      </c>
      <c r="B3" s="43">
        <v>155</v>
      </c>
      <c r="C3" s="43">
        <v>219.4</v>
      </c>
      <c r="D3" s="43">
        <v>170.8</v>
      </c>
      <c r="E3" s="43">
        <v>165.8</v>
      </c>
      <c r="F3" s="43">
        <v>200.9</v>
      </c>
      <c r="G3" s="43">
        <v>169.7</v>
      </c>
      <c r="H3" s="43">
        <v>182.3</v>
      </c>
      <c r="I3" s="43">
        <v>164.3</v>
      </c>
      <c r="J3" s="43">
        <v>119.9</v>
      </c>
      <c r="K3" s="43">
        <v>187.1</v>
      </c>
      <c r="L3" s="43">
        <v>183.9</v>
      </c>
    </row>
    <row r="4" spans="1:12" x14ac:dyDescent="0.3">
      <c r="A4" s="43" t="s">
        <v>102</v>
      </c>
      <c r="B4" s="43">
        <v>156.5</v>
      </c>
      <c r="C4" s="43">
        <v>213</v>
      </c>
      <c r="D4" s="43">
        <v>175.2</v>
      </c>
      <c r="E4" s="43">
        <v>166.6</v>
      </c>
      <c r="F4" s="43">
        <v>195.8</v>
      </c>
      <c r="G4" s="43">
        <v>174.2</v>
      </c>
      <c r="H4" s="43">
        <v>182.1</v>
      </c>
      <c r="I4" s="43">
        <v>164.3</v>
      </c>
      <c r="J4" s="43">
        <v>120</v>
      </c>
      <c r="K4" s="43">
        <v>190</v>
      </c>
      <c r="L4" s="43">
        <v>185.2</v>
      </c>
    </row>
    <row r="5" spans="1:12" x14ac:dyDescent="0.3">
      <c r="A5" s="43" t="s">
        <v>103</v>
      </c>
      <c r="B5" s="43">
        <v>160.30000000000001</v>
      </c>
      <c r="C5" s="43">
        <v>206.5</v>
      </c>
      <c r="D5" s="43">
        <v>169.2</v>
      </c>
      <c r="E5" s="43">
        <v>168.1</v>
      </c>
      <c r="F5" s="43">
        <v>192.4</v>
      </c>
      <c r="G5" s="43">
        <v>172.9</v>
      </c>
      <c r="H5" s="43">
        <v>186.7</v>
      </c>
      <c r="I5" s="43">
        <v>167.2</v>
      </c>
      <c r="J5" s="43">
        <v>120.9</v>
      </c>
      <c r="K5" s="43">
        <v>193.6</v>
      </c>
      <c r="L5" s="43">
        <v>186.3</v>
      </c>
    </row>
    <row r="6" spans="1:12" x14ac:dyDescent="0.3">
      <c r="A6" s="43" t="s">
        <v>104</v>
      </c>
      <c r="B6" s="43">
        <v>163.5</v>
      </c>
      <c r="C6" s="43">
        <v>209.2</v>
      </c>
      <c r="D6" s="43">
        <v>169.7</v>
      </c>
      <c r="E6" s="43">
        <v>169.7</v>
      </c>
      <c r="F6" s="43">
        <v>188.7</v>
      </c>
      <c r="G6" s="43">
        <v>165.7</v>
      </c>
      <c r="H6" s="43">
        <v>191.8</v>
      </c>
      <c r="I6" s="43">
        <v>169.1</v>
      </c>
      <c r="J6" s="43">
        <v>121.6</v>
      </c>
      <c r="K6" s="43">
        <v>197.3</v>
      </c>
      <c r="L6" s="43">
        <v>187.4</v>
      </c>
    </row>
    <row r="7" spans="1:12" x14ac:dyDescent="0.3">
      <c r="A7" s="43" t="s">
        <v>105</v>
      </c>
      <c r="B7" s="43">
        <v>165.2</v>
      </c>
      <c r="C7" s="43">
        <v>210.9</v>
      </c>
      <c r="D7" s="43">
        <v>170.9</v>
      </c>
      <c r="E7" s="43">
        <v>170.9</v>
      </c>
      <c r="F7" s="43">
        <v>186.5</v>
      </c>
      <c r="G7" s="43">
        <v>163.80000000000001</v>
      </c>
      <c r="H7" s="43">
        <v>199.7</v>
      </c>
      <c r="I7" s="43">
        <v>169.8</v>
      </c>
      <c r="J7" s="43">
        <v>121.9</v>
      </c>
      <c r="K7" s="43">
        <v>199.9</v>
      </c>
      <c r="L7" s="43">
        <v>188.3</v>
      </c>
    </row>
    <row r="8" spans="1:12" x14ac:dyDescent="0.3">
      <c r="A8" s="43" t="s">
        <v>106</v>
      </c>
      <c r="B8" s="43">
        <v>167.4</v>
      </c>
      <c r="C8" s="43">
        <v>209.4</v>
      </c>
      <c r="D8" s="43">
        <v>181.4</v>
      </c>
      <c r="E8" s="43">
        <v>172.3</v>
      </c>
      <c r="F8" s="43">
        <v>188.9</v>
      </c>
      <c r="G8" s="43">
        <v>160.69999999999999</v>
      </c>
      <c r="H8" s="43">
        <v>183.1</v>
      </c>
      <c r="I8" s="43">
        <v>170.5</v>
      </c>
      <c r="J8" s="43">
        <v>122.1</v>
      </c>
      <c r="K8" s="43">
        <v>202.8</v>
      </c>
      <c r="L8" s="43">
        <v>189.5</v>
      </c>
    </row>
    <row r="9" spans="1:12" x14ac:dyDescent="0.3">
      <c r="A9" s="43" t="s">
        <v>107</v>
      </c>
      <c r="B9" s="43">
        <v>169.2</v>
      </c>
      <c r="C9" s="43">
        <v>209</v>
      </c>
      <c r="D9" s="43">
        <v>190.2</v>
      </c>
      <c r="E9" s="43">
        <v>173.6</v>
      </c>
      <c r="F9" s="43">
        <v>188.5</v>
      </c>
      <c r="G9" s="43">
        <v>158</v>
      </c>
      <c r="H9" s="43">
        <v>159.9</v>
      </c>
      <c r="I9" s="43">
        <v>170.8</v>
      </c>
      <c r="J9" s="43">
        <v>121.8</v>
      </c>
      <c r="K9" s="43">
        <v>205.2</v>
      </c>
      <c r="L9" s="43">
        <v>190.3</v>
      </c>
    </row>
    <row r="10" spans="1:12" x14ac:dyDescent="0.3">
      <c r="A10" s="43" t="s">
        <v>108</v>
      </c>
      <c r="B10" s="43">
        <v>173.8</v>
      </c>
      <c r="C10" s="43">
        <v>210.7</v>
      </c>
      <c r="D10" s="43">
        <v>194.5</v>
      </c>
      <c r="E10" s="43">
        <v>174.6</v>
      </c>
      <c r="F10" s="43">
        <v>187.2</v>
      </c>
      <c r="G10" s="43">
        <v>158.30000000000001</v>
      </c>
      <c r="H10" s="43">
        <v>153.9</v>
      </c>
      <c r="I10" s="43">
        <v>170.9</v>
      </c>
      <c r="J10" s="43">
        <v>121.1</v>
      </c>
      <c r="K10" s="43">
        <v>208.4</v>
      </c>
      <c r="L10" s="43">
        <v>191.2</v>
      </c>
    </row>
    <row r="11" spans="1:12" x14ac:dyDescent="0.3">
      <c r="A11" s="43" t="s">
        <v>109</v>
      </c>
      <c r="B11" s="43">
        <v>174.4</v>
      </c>
      <c r="C11" s="43">
        <v>207.7</v>
      </c>
      <c r="D11" s="43">
        <v>175.2</v>
      </c>
      <c r="E11" s="43">
        <v>177.3</v>
      </c>
      <c r="F11" s="43">
        <v>179.3</v>
      </c>
      <c r="G11" s="43">
        <v>169.5</v>
      </c>
      <c r="H11" s="43">
        <v>152.69999999999999</v>
      </c>
      <c r="I11" s="43">
        <v>171</v>
      </c>
      <c r="J11" s="43">
        <v>120</v>
      </c>
      <c r="K11" s="43">
        <v>209.7</v>
      </c>
      <c r="L11" s="43">
        <v>193</v>
      </c>
    </row>
    <row r="12" spans="1:12" x14ac:dyDescent="0.3">
      <c r="A12" s="43" t="s">
        <v>110</v>
      </c>
      <c r="B12" s="43">
        <v>174.4</v>
      </c>
      <c r="C12" s="43">
        <v>207.7</v>
      </c>
      <c r="D12" s="43">
        <v>175.2</v>
      </c>
      <c r="E12" s="43">
        <v>177.3</v>
      </c>
      <c r="F12" s="43">
        <v>179.2</v>
      </c>
      <c r="G12" s="43">
        <v>169.5</v>
      </c>
      <c r="H12" s="43">
        <v>152.80000000000001</v>
      </c>
      <c r="I12" s="43">
        <v>171.1</v>
      </c>
      <c r="J12" s="43">
        <v>120</v>
      </c>
      <c r="K12" s="43">
        <v>209.7</v>
      </c>
      <c r="L12" s="43">
        <v>193</v>
      </c>
    </row>
    <row r="13" spans="1:12" x14ac:dyDescent="0.3">
      <c r="A13" s="43" t="s">
        <v>111</v>
      </c>
      <c r="B13" s="43">
        <v>173.8</v>
      </c>
      <c r="C13" s="43">
        <v>209.3</v>
      </c>
      <c r="D13" s="43">
        <v>169.6</v>
      </c>
      <c r="E13" s="43">
        <v>178.4</v>
      </c>
      <c r="F13" s="43">
        <v>174.9</v>
      </c>
      <c r="G13" s="43">
        <v>176.3</v>
      </c>
      <c r="H13" s="43">
        <v>155.4</v>
      </c>
      <c r="I13" s="43">
        <v>173.4</v>
      </c>
      <c r="J13" s="43">
        <v>121.3</v>
      </c>
      <c r="K13" s="43">
        <v>212.9</v>
      </c>
      <c r="L13" s="43">
        <v>193.5</v>
      </c>
    </row>
    <row r="14" spans="1:12" x14ac:dyDescent="0.3">
      <c r="B14" s="31"/>
    </row>
    <row r="15" spans="1:12" ht="18" x14ac:dyDescent="0.35">
      <c r="A15" s="23" t="s">
        <v>159</v>
      </c>
    </row>
    <row r="16" spans="1:12" x14ac:dyDescent="0.3">
      <c r="A16" s="50" t="s">
        <v>62</v>
      </c>
      <c r="B16" s="50" t="s">
        <v>18</v>
      </c>
      <c r="C16" s="50" t="s">
        <v>19</v>
      </c>
      <c r="D16" s="50" t="s">
        <v>20</v>
      </c>
      <c r="E16" s="50" t="s">
        <v>21</v>
      </c>
      <c r="F16" s="50" t="s">
        <v>22</v>
      </c>
      <c r="G16" s="50" t="s">
        <v>23</v>
      </c>
      <c r="H16" s="50" t="s">
        <v>24</v>
      </c>
      <c r="I16" s="50" t="s">
        <v>25</v>
      </c>
      <c r="J16" s="50" t="s">
        <v>39</v>
      </c>
      <c r="K16" s="50" t="s">
        <v>26</v>
      </c>
      <c r="L16" s="50" t="s">
        <v>28</v>
      </c>
    </row>
    <row r="17" spans="1:12" x14ac:dyDescent="0.3">
      <c r="A17" s="43" t="s">
        <v>101</v>
      </c>
      <c r="B17" s="44">
        <v>0.58403634003893945</v>
      </c>
      <c r="C17" s="44">
        <v>1.1059907834101408</v>
      </c>
      <c r="D17" s="44">
        <v>5.172413793103452</v>
      </c>
      <c r="E17" s="44">
        <v>0.54578532443905736</v>
      </c>
      <c r="F17" s="44">
        <v>-0.74110671936758887</v>
      </c>
      <c r="G17" s="44">
        <v>-0.76023391812866159</v>
      </c>
      <c r="H17" s="44">
        <v>4.2309891366495167</v>
      </c>
      <c r="I17" s="44">
        <v>-0.24286581663629467</v>
      </c>
      <c r="J17" s="44">
        <v>0.16708437761069578</v>
      </c>
      <c r="K17" s="44">
        <v>-1.1758417958311003</v>
      </c>
      <c r="L17" s="44">
        <v>0.76712328767123594</v>
      </c>
    </row>
    <row r="18" spans="1:12" x14ac:dyDescent="0.3">
      <c r="A18" s="43" t="s">
        <v>102</v>
      </c>
      <c r="B18" s="44">
        <v>0.967741935483871</v>
      </c>
      <c r="C18" s="44">
        <v>-2.9170464904284437</v>
      </c>
      <c r="D18" s="44">
        <v>2.5761124121779724</v>
      </c>
      <c r="E18" s="44">
        <v>0.48250904704462172</v>
      </c>
      <c r="F18" s="44">
        <v>-2.538576406172222</v>
      </c>
      <c r="G18" s="44">
        <v>2.6517383618149681</v>
      </c>
      <c r="H18" s="44">
        <v>-0.10970927043336097</v>
      </c>
      <c r="I18" s="44">
        <v>0</v>
      </c>
      <c r="J18" s="44">
        <v>8.3402835696408939E-2</v>
      </c>
      <c r="K18" s="44">
        <v>1.5499732763228251</v>
      </c>
      <c r="L18" s="44">
        <v>0.70690592713430289</v>
      </c>
    </row>
    <row r="19" spans="1:12" x14ac:dyDescent="0.3">
      <c r="A19" s="43" t="s">
        <v>103</v>
      </c>
      <c r="B19" s="44">
        <v>2.4281150159744485</v>
      </c>
      <c r="C19" s="44">
        <v>-3.051643192488263</v>
      </c>
      <c r="D19" s="44">
        <v>-3.4246575342465757</v>
      </c>
      <c r="E19" s="44">
        <v>0.90036014405762299</v>
      </c>
      <c r="F19" s="44">
        <v>-1.7364657814096043</v>
      </c>
      <c r="G19" s="44">
        <v>-0.74626865671640819</v>
      </c>
      <c r="H19" s="44">
        <v>2.5260845689181735</v>
      </c>
      <c r="I19" s="44">
        <v>1.7650639074862917</v>
      </c>
      <c r="J19" s="44">
        <v>0.75000000000000477</v>
      </c>
      <c r="K19" s="44">
        <v>1.8947368421052602</v>
      </c>
      <c r="L19" s="44">
        <v>0.59395248380130827</v>
      </c>
    </row>
    <row r="20" spans="1:12" x14ac:dyDescent="0.3">
      <c r="A20" s="43" t="s">
        <v>104</v>
      </c>
      <c r="B20" s="44">
        <v>1.9962570180910719</v>
      </c>
      <c r="C20" s="44">
        <v>1.3075060532687597</v>
      </c>
      <c r="D20" s="44">
        <v>0.29550827423167852</v>
      </c>
      <c r="E20" s="44">
        <v>0.951814396192739</v>
      </c>
      <c r="F20" s="44">
        <v>-1.9230769230769318</v>
      </c>
      <c r="G20" s="44">
        <v>-4.1642567958357528</v>
      </c>
      <c r="H20" s="44">
        <v>2.7316550615961557</v>
      </c>
      <c r="I20" s="44">
        <v>1.1363636363636398</v>
      </c>
      <c r="J20" s="44">
        <v>0.57899090157153732</v>
      </c>
      <c r="K20" s="44">
        <v>1.9111570247933973</v>
      </c>
      <c r="L20" s="44">
        <v>0.59044551798174671</v>
      </c>
    </row>
    <row r="21" spans="1:12" x14ac:dyDescent="0.3">
      <c r="A21" s="43" t="s">
        <v>105</v>
      </c>
      <c r="B21" s="44">
        <v>1.0397553516819502</v>
      </c>
      <c r="C21" s="44">
        <v>0.81261950286807705</v>
      </c>
      <c r="D21" s="44">
        <v>0.70713022981733475</v>
      </c>
      <c r="E21" s="44">
        <v>0.70713022981733475</v>
      </c>
      <c r="F21" s="44">
        <v>-1.1658717541070422</v>
      </c>
      <c r="G21" s="44">
        <v>-1.146650573325273</v>
      </c>
      <c r="H21" s="44">
        <v>4.1188738269030116</v>
      </c>
      <c r="I21" s="44">
        <v>0.41395623891189659</v>
      </c>
      <c r="J21" s="44">
        <v>0.24671052631579882</v>
      </c>
      <c r="K21" s="44">
        <v>1.3177901672579797</v>
      </c>
      <c r="L21" s="44">
        <v>0.48025613660619304</v>
      </c>
    </row>
    <row r="22" spans="1:12" x14ac:dyDescent="0.3">
      <c r="A22" s="43" t="s">
        <v>106</v>
      </c>
      <c r="B22" s="44">
        <v>1.3317191283293082</v>
      </c>
      <c r="C22" s="44">
        <v>-0.71123755334281646</v>
      </c>
      <c r="D22" s="44">
        <v>6.1439438267992976</v>
      </c>
      <c r="E22" s="44">
        <v>0.81919251023990969</v>
      </c>
      <c r="F22" s="44">
        <v>1.286863270777483</v>
      </c>
      <c r="G22" s="44">
        <v>-1.8925518925519063</v>
      </c>
      <c r="H22" s="44">
        <v>-8.312468703054579</v>
      </c>
      <c r="I22" s="44">
        <v>0.41224970553591794</v>
      </c>
      <c r="J22" s="44">
        <v>0.16406890894174619</v>
      </c>
      <c r="K22" s="44">
        <v>1.4507253626813434</v>
      </c>
      <c r="L22" s="44">
        <v>0.63728093467869806</v>
      </c>
    </row>
    <row r="23" spans="1:12" x14ac:dyDescent="0.3">
      <c r="A23" s="43" t="s">
        <v>107</v>
      </c>
      <c r="B23" s="44">
        <v>1.075268817204291</v>
      </c>
      <c r="C23" s="44">
        <v>-0.19102196752626824</v>
      </c>
      <c r="D23" s="44">
        <v>4.8511576626240256</v>
      </c>
      <c r="E23" s="44">
        <v>0.75449796865930518</v>
      </c>
      <c r="F23" s="44">
        <v>-0.21175224986765784</v>
      </c>
      <c r="G23" s="44">
        <v>-1.6801493466085806</v>
      </c>
      <c r="H23" s="44">
        <v>-12.670671764063348</v>
      </c>
      <c r="I23" s="44">
        <v>0.1759530791788923</v>
      </c>
      <c r="J23" s="44">
        <v>-0.2457002457002434</v>
      </c>
      <c r="K23" s="44">
        <v>1.1834319526627106</v>
      </c>
      <c r="L23" s="44">
        <v>0.42216358839050727</v>
      </c>
    </row>
    <row r="24" spans="1:12" x14ac:dyDescent="0.3">
      <c r="A24" s="43" t="s">
        <v>108</v>
      </c>
      <c r="B24" s="44">
        <v>2.7186761229314556</v>
      </c>
      <c r="C24" s="44">
        <v>0.81339712918659746</v>
      </c>
      <c r="D24" s="44">
        <v>2.2607781282860206</v>
      </c>
      <c r="E24" s="44">
        <v>0.57603686635944706</v>
      </c>
      <c r="F24" s="44">
        <v>-0.68965517241379914</v>
      </c>
      <c r="G24" s="44">
        <v>0.18987341772152619</v>
      </c>
      <c r="H24" s="44">
        <v>-3.7523452157598496</v>
      </c>
      <c r="I24" s="44">
        <v>5.8548009367678171E-2</v>
      </c>
      <c r="J24" s="44">
        <v>-0.57471264367816322</v>
      </c>
      <c r="K24" s="44">
        <v>1.5594541910331468</v>
      </c>
      <c r="L24" s="44">
        <v>0.47293746715710833</v>
      </c>
    </row>
    <row r="25" spans="1:12" x14ac:dyDescent="0.3">
      <c r="A25" s="43" t="s">
        <v>109</v>
      </c>
      <c r="B25" s="44">
        <v>0.34522439585730397</v>
      </c>
      <c r="C25" s="44">
        <v>-1.423825344091125</v>
      </c>
      <c r="D25" s="44">
        <v>-9.922879177377899</v>
      </c>
      <c r="E25" s="44">
        <v>1.5463917525773294</v>
      </c>
      <c r="F25" s="44">
        <v>-4.2200854700854578</v>
      </c>
      <c r="G25" s="44">
        <v>7.0751737207833152</v>
      </c>
      <c r="H25" s="44">
        <v>-0.77972709551658026</v>
      </c>
      <c r="I25" s="44">
        <v>5.8513750731418554E-2</v>
      </c>
      <c r="J25" s="44">
        <v>-0.90834021469859161</v>
      </c>
      <c r="K25" s="44">
        <v>0.62380038387715109</v>
      </c>
      <c r="L25" s="44">
        <v>0.94142259414226537</v>
      </c>
    </row>
    <row r="26" spans="1:12" x14ac:dyDescent="0.3">
      <c r="A26" s="43" t="s">
        <v>110</v>
      </c>
      <c r="B26" s="44">
        <v>0</v>
      </c>
      <c r="C26" s="44">
        <v>0</v>
      </c>
      <c r="D26" s="44">
        <v>0</v>
      </c>
      <c r="E26" s="44">
        <v>0</v>
      </c>
      <c r="F26" s="44">
        <v>-5.5772448410497895E-2</v>
      </c>
      <c r="G26" s="44">
        <v>0</v>
      </c>
      <c r="H26" s="44">
        <v>6.5487884741337751E-2</v>
      </c>
      <c r="I26" s="44">
        <v>5.8479532163739363E-2</v>
      </c>
      <c r="J26" s="44">
        <v>0</v>
      </c>
      <c r="K26" s="44">
        <v>0</v>
      </c>
      <c r="L26" s="44">
        <v>0</v>
      </c>
    </row>
    <row r="27" spans="1:12" x14ac:dyDescent="0.3">
      <c r="A27" s="43" t="s">
        <v>111</v>
      </c>
      <c r="B27" s="44">
        <v>-0.34403669724770314</v>
      </c>
      <c r="C27" s="44">
        <v>0.77034183919115207</v>
      </c>
      <c r="D27" s="44">
        <v>-3.1963470319634673</v>
      </c>
      <c r="E27" s="44">
        <v>0.62041737168640398</v>
      </c>
      <c r="F27" s="44">
        <v>-2.3995535714285623</v>
      </c>
      <c r="G27" s="44">
        <v>4.0117994100295054</v>
      </c>
      <c r="H27" s="44">
        <v>1.7015706806282684</v>
      </c>
      <c r="I27" s="44">
        <v>1.3442431326709592</v>
      </c>
      <c r="J27" s="44">
        <v>1.083333333333331</v>
      </c>
      <c r="K27" s="44">
        <v>1.5259895088221351</v>
      </c>
      <c r="L27" s="44">
        <v>0.2590673575129534</v>
      </c>
    </row>
    <row r="29" spans="1:12" ht="18" x14ac:dyDescent="0.35">
      <c r="A29" s="23" t="s">
        <v>160</v>
      </c>
    </row>
    <row r="30" spans="1:12" x14ac:dyDescent="0.3">
      <c r="A30" s="50" t="s">
        <v>62</v>
      </c>
      <c r="B30" s="50" t="s">
        <v>161</v>
      </c>
    </row>
    <row r="31" spans="1:12" x14ac:dyDescent="0.3">
      <c r="A31" s="43" t="s">
        <v>101</v>
      </c>
      <c r="B31" s="44">
        <v>9.6533747929593918</v>
      </c>
      <c r="C31" s="24" t="s">
        <v>134</v>
      </c>
    </row>
    <row r="32" spans="1:12" x14ac:dyDescent="0.3">
      <c r="A32" s="43" t="s">
        <v>102</v>
      </c>
      <c r="B32" s="44">
        <v>3.4530516286409436</v>
      </c>
    </row>
    <row r="33" spans="1:11" x14ac:dyDescent="0.3">
      <c r="A33" s="43" t="s">
        <v>103</v>
      </c>
      <c r="B33" s="44">
        <v>1.8992777974822581</v>
      </c>
    </row>
    <row r="34" spans="1:11" x14ac:dyDescent="0.3">
      <c r="A34" s="43" t="s">
        <v>104</v>
      </c>
      <c r="B34" s="44">
        <v>5.4123641651780421</v>
      </c>
    </row>
    <row r="35" spans="1:11" x14ac:dyDescent="0.3">
      <c r="A35" s="43" t="s">
        <v>105</v>
      </c>
      <c r="B35" s="44">
        <v>7.5316998827472608</v>
      </c>
    </row>
    <row r="36" spans="1:11" x14ac:dyDescent="0.3">
      <c r="A36" s="43" t="s">
        <v>106</v>
      </c>
      <c r="B36" s="44">
        <v>1.3297854990344027</v>
      </c>
    </row>
    <row r="37" spans="1:11" x14ac:dyDescent="0.3">
      <c r="A37" s="43" t="s">
        <v>107</v>
      </c>
      <c r="B37" s="44">
        <v>-6.5368225050463664</v>
      </c>
    </row>
    <row r="38" spans="1:11" x14ac:dyDescent="0.3">
      <c r="A38" s="43" t="s">
        <v>108</v>
      </c>
      <c r="B38" s="44">
        <v>3.632988300191168</v>
      </c>
    </row>
    <row r="39" spans="1:11" x14ac:dyDescent="0.3">
      <c r="A39" s="43" t="s">
        <v>109</v>
      </c>
      <c r="B39" s="44">
        <v>-6.6643307038008697</v>
      </c>
      <c r="C39" s="24" t="s">
        <v>135</v>
      </c>
    </row>
    <row r="40" spans="1:11" x14ac:dyDescent="0.3">
      <c r="A40" s="43" t="s">
        <v>110</v>
      </c>
      <c r="B40" s="44">
        <v>6.8194968494579219E-2</v>
      </c>
    </row>
    <row r="41" spans="1:11" x14ac:dyDescent="0.3">
      <c r="A41" s="43" t="s">
        <v>111</v>
      </c>
      <c r="B41" s="44">
        <v>5.3768253332349767</v>
      </c>
    </row>
    <row r="43" spans="1:11" x14ac:dyDescent="0.3">
      <c r="I43" s="27" t="s">
        <v>162</v>
      </c>
    </row>
    <row r="44" spans="1:11" x14ac:dyDescent="0.3">
      <c r="I44" s="61">
        <v>44713</v>
      </c>
      <c r="J44" s="45"/>
      <c r="K44" s="45"/>
    </row>
    <row r="45" spans="1:11" x14ac:dyDescent="0.3">
      <c r="I45" s="24"/>
    </row>
    <row r="46" spans="1:11" x14ac:dyDescent="0.3">
      <c r="I46" s="27" t="s">
        <v>163</v>
      </c>
    </row>
    <row r="47" spans="1:11" x14ac:dyDescent="0.3">
      <c r="I47" s="62">
        <v>44958</v>
      </c>
    </row>
    <row r="65" spans="1:5" x14ac:dyDescent="0.3">
      <c r="A65" s="42" t="s">
        <v>113</v>
      </c>
    </row>
    <row r="67" spans="1:5" ht="43.2" x14ac:dyDescent="0.3">
      <c r="A67" s="60" t="s">
        <v>38</v>
      </c>
      <c r="B67" s="60" t="s">
        <v>164</v>
      </c>
      <c r="C67" s="60" t="s">
        <v>165</v>
      </c>
      <c r="D67" s="60" t="s">
        <v>166</v>
      </c>
    </row>
    <row r="68" spans="1:5" x14ac:dyDescent="0.3">
      <c r="A68" s="46" t="s">
        <v>101</v>
      </c>
      <c r="B68" s="63">
        <f>AVERAGE(B3:L3)</f>
        <v>174.46363636363637</v>
      </c>
      <c r="C68" s="46" t="s">
        <v>114</v>
      </c>
      <c r="D68" s="46" t="s">
        <v>114</v>
      </c>
    </row>
    <row r="69" spans="1:5" x14ac:dyDescent="0.3">
      <c r="A69" s="46" t="s">
        <v>102</v>
      </c>
      <c r="B69" s="63">
        <f>AVERAGE(B4:L4)</f>
        <v>174.80909090909091</v>
      </c>
      <c r="C69" s="63">
        <f>B68-0</f>
        <v>174.46363636363637</v>
      </c>
      <c r="D69" s="63">
        <f>B69-C69</f>
        <v>0.3454545454545439</v>
      </c>
    </row>
    <row r="70" spans="1:5" x14ac:dyDescent="0.3">
      <c r="A70" s="46" t="s">
        <v>103</v>
      </c>
      <c r="B70" s="63">
        <f>AVERAGE(B5:L5)</f>
        <v>174.91818181818184</v>
      </c>
      <c r="C70" s="63">
        <f t="shared" ref="C70:C78" si="0">B69-0</f>
        <v>174.80909090909091</v>
      </c>
      <c r="D70" s="63">
        <f t="shared" ref="D70:D78" si="1">B70-C70</f>
        <v>0.10909090909092356</v>
      </c>
    </row>
    <row r="71" spans="1:5" x14ac:dyDescent="0.3">
      <c r="A71" s="46" t="s">
        <v>104</v>
      </c>
      <c r="B71" s="63">
        <f t="shared" ref="B71:B78" si="2">AVERAGE(B6:L6)</f>
        <v>175.79090909090908</v>
      </c>
      <c r="C71" s="63">
        <f t="shared" si="0"/>
        <v>174.91818181818184</v>
      </c>
      <c r="D71" s="63">
        <f t="shared" si="1"/>
        <v>0.87272727272724637</v>
      </c>
    </row>
    <row r="72" spans="1:5" x14ac:dyDescent="0.3">
      <c r="A72" s="46" t="s">
        <v>105</v>
      </c>
      <c r="B72" s="63">
        <f t="shared" si="2"/>
        <v>177.07272727272729</v>
      </c>
      <c r="C72" s="63">
        <f t="shared" si="0"/>
        <v>175.79090909090908</v>
      </c>
      <c r="D72" s="63">
        <f t="shared" si="1"/>
        <v>1.2818181818182097</v>
      </c>
    </row>
    <row r="73" spans="1:5" x14ac:dyDescent="0.3">
      <c r="A73" s="46" t="s">
        <v>106</v>
      </c>
      <c r="B73" s="63">
        <f t="shared" si="2"/>
        <v>177.09999999999997</v>
      </c>
      <c r="C73" s="63">
        <f t="shared" si="0"/>
        <v>177.07272727272729</v>
      </c>
      <c r="D73" s="63">
        <f t="shared" si="1"/>
        <v>2.7272727272674047E-2</v>
      </c>
    </row>
    <row r="74" spans="1:5" x14ac:dyDescent="0.3">
      <c r="A74" s="46" t="s">
        <v>107</v>
      </c>
      <c r="B74" s="63">
        <f t="shared" si="2"/>
        <v>176.04545454545453</v>
      </c>
      <c r="C74" s="63">
        <f t="shared" si="0"/>
        <v>177.09999999999997</v>
      </c>
      <c r="D74" s="63">
        <f t="shared" si="1"/>
        <v>-1.0545454545454334</v>
      </c>
    </row>
    <row r="75" spans="1:5" x14ac:dyDescent="0.3">
      <c r="A75" s="46" t="s">
        <v>108</v>
      </c>
      <c r="B75" s="63">
        <f t="shared" si="2"/>
        <v>176.78181818181818</v>
      </c>
      <c r="C75" s="63">
        <f t="shared" si="0"/>
        <v>176.04545454545453</v>
      </c>
      <c r="D75" s="63">
        <f t="shared" si="1"/>
        <v>0.73636363636364877</v>
      </c>
    </row>
    <row r="76" spans="1:5" x14ac:dyDescent="0.3">
      <c r="A76" s="46" t="s">
        <v>109</v>
      </c>
      <c r="B76" s="63">
        <f t="shared" si="2"/>
        <v>175.43636363636364</v>
      </c>
      <c r="C76" s="63">
        <f t="shared" si="0"/>
        <v>176.78181818181818</v>
      </c>
      <c r="D76" s="63">
        <f t="shared" si="1"/>
        <v>-1.3454545454545439</v>
      </c>
    </row>
    <row r="77" spans="1:5" x14ac:dyDescent="0.3">
      <c r="A77" s="46" t="s">
        <v>110</v>
      </c>
      <c r="B77" s="63">
        <f t="shared" si="2"/>
        <v>175.44545454545454</v>
      </c>
      <c r="C77" s="63">
        <f t="shared" si="0"/>
        <v>175.43636363636364</v>
      </c>
      <c r="D77" s="63">
        <f t="shared" si="1"/>
        <v>9.0909090909008228E-3</v>
      </c>
    </row>
    <row r="78" spans="1:5" x14ac:dyDescent="0.3">
      <c r="A78" s="46" t="s">
        <v>111</v>
      </c>
      <c r="B78" s="63">
        <f t="shared" si="2"/>
        <v>176.25454545454548</v>
      </c>
      <c r="C78" s="63">
        <f t="shared" si="0"/>
        <v>175.44545454545454</v>
      </c>
      <c r="D78" s="63">
        <f t="shared" si="1"/>
        <v>0.80909090909094061</v>
      </c>
    </row>
    <row r="79" spans="1:5" x14ac:dyDescent="0.3">
      <c r="B79" s="51"/>
      <c r="C79" s="51"/>
      <c r="D79" s="51"/>
      <c r="E79" s="47"/>
    </row>
    <row r="80" spans="1:5" x14ac:dyDescent="0.3">
      <c r="A80" s="42" t="s">
        <v>167</v>
      </c>
    </row>
    <row r="81" spans="1:3" ht="28.8" x14ac:dyDescent="0.3">
      <c r="A81" s="60" t="s">
        <v>17</v>
      </c>
      <c r="B81" s="60" t="s">
        <v>115</v>
      </c>
    </row>
    <row r="82" spans="1:3" ht="15" customHeight="1" x14ac:dyDescent="0.3">
      <c r="A82" s="46" t="s">
        <v>18</v>
      </c>
      <c r="B82" s="46">
        <v>166.68</v>
      </c>
    </row>
    <row r="83" spans="1:3" x14ac:dyDescent="0.3">
      <c r="A83" s="46" t="s">
        <v>19</v>
      </c>
      <c r="B83" s="46">
        <v>210.25</v>
      </c>
      <c r="C83" s="24" t="s">
        <v>134</v>
      </c>
    </row>
    <row r="84" spans="1:3" x14ac:dyDescent="0.3">
      <c r="A84" s="46" t="s">
        <v>20</v>
      </c>
      <c r="B84" s="46">
        <v>176.54</v>
      </c>
    </row>
    <row r="85" spans="1:3" ht="13.2" customHeight="1" x14ac:dyDescent="0.3">
      <c r="A85" s="46" t="s">
        <v>21</v>
      </c>
      <c r="B85" s="46">
        <v>172.24</v>
      </c>
    </row>
    <row r="86" spans="1:3" x14ac:dyDescent="0.3">
      <c r="A86" s="46" t="s">
        <v>22</v>
      </c>
      <c r="B86" s="46">
        <v>187.48</v>
      </c>
    </row>
    <row r="87" spans="1:3" x14ac:dyDescent="0.3">
      <c r="A87" s="46" t="s">
        <v>23</v>
      </c>
      <c r="B87" s="46">
        <v>167.15</v>
      </c>
    </row>
    <row r="88" spans="1:3" x14ac:dyDescent="0.3">
      <c r="A88" s="46" t="s">
        <v>24</v>
      </c>
      <c r="B88" s="46">
        <v>172.76</v>
      </c>
    </row>
    <row r="89" spans="1:3" ht="14.4" customHeight="1" x14ac:dyDescent="0.3">
      <c r="A89" s="46" t="s">
        <v>25</v>
      </c>
      <c r="B89" s="46">
        <v>169.31</v>
      </c>
    </row>
    <row r="90" spans="1:3" ht="13.8" customHeight="1" x14ac:dyDescent="0.3">
      <c r="A90" s="46" t="s">
        <v>39</v>
      </c>
      <c r="B90" s="46">
        <v>120.96</v>
      </c>
      <c r="C90" s="24" t="s">
        <v>135</v>
      </c>
    </row>
    <row r="91" spans="1:3" x14ac:dyDescent="0.3">
      <c r="A91" s="46" t="s">
        <v>26</v>
      </c>
      <c r="B91" s="46">
        <v>201.51</v>
      </c>
    </row>
    <row r="92" spans="1:3" ht="16.2" customHeight="1" x14ac:dyDescent="0.3">
      <c r="A92" s="46" t="s">
        <v>116</v>
      </c>
      <c r="B92" s="46">
        <v>189.24</v>
      </c>
    </row>
    <row r="94" spans="1:3" x14ac:dyDescent="0.3">
      <c r="A94" s="27" t="s">
        <v>168</v>
      </c>
      <c r="B94" s="24"/>
    </row>
    <row r="95" spans="1:3" x14ac:dyDescent="0.3">
      <c r="A95" s="24" t="s">
        <v>153</v>
      </c>
      <c r="B95" s="24"/>
    </row>
    <row r="97" spans="1:1" x14ac:dyDescent="0.3">
      <c r="A97" s="22"/>
    </row>
  </sheetData>
  <conditionalFormatting sqref="A31:A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{2AEDACFD-0B98-4F69-BB65-E40617E545CD}</x14:id>
        </ext>
      </extLst>
    </cfRule>
  </conditionalFormatting>
  <conditionalFormatting sqref="A95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31:B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:B9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{CC86EFC4-3960-4AAF-9E22-849C9DC47B41}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EDACFD-0B98-4F69-BB65-E40617E54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A31:A41</xm:sqref>
        </x14:conditionalFormatting>
        <x14:conditionalFormatting xmlns:xm="http://schemas.microsoft.com/office/excel/2006/main">
          <x14:cfRule type="dataBar" id="{CC86EFC4-3960-4AAF-9E22-849C9DC47B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B82:B92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6AFA-E26B-4B19-9DC6-CAF5EE0584AA}">
  <dimension ref="A1:E72"/>
  <sheetViews>
    <sheetView showGridLines="0" topLeftCell="A17" zoomScaleNormal="100" workbookViewId="0">
      <selection activeCell="F78" sqref="F78"/>
    </sheetView>
  </sheetViews>
  <sheetFormatPr defaultRowHeight="14.4" x14ac:dyDescent="0.3"/>
  <cols>
    <col min="1" max="1" width="12.5546875" style="10" bestFit="1" customWidth="1"/>
    <col min="2" max="2" width="15.5546875" style="10" bestFit="1" customWidth="1"/>
    <col min="3" max="3" width="20.88671875" style="10" customWidth="1"/>
    <col min="4" max="4" width="29.77734375" style="10" customWidth="1"/>
    <col min="5" max="5" width="16.21875" style="10" bestFit="1" customWidth="1"/>
    <col min="6" max="6" width="27.77734375" style="10" bestFit="1" customWidth="1"/>
    <col min="7" max="7" width="29.109375" style="10" bestFit="1" customWidth="1"/>
    <col min="8" max="8" width="40.33203125" style="10" bestFit="1" customWidth="1"/>
    <col min="9" max="16384" width="8.88671875" style="10"/>
  </cols>
  <sheetData>
    <row r="1" spans="1:4" ht="18" x14ac:dyDescent="0.35">
      <c r="A1" s="23" t="s">
        <v>169</v>
      </c>
    </row>
    <row r="2" spans="1:4" x14ac:dyDescent="0.3">
      <c r="A2" s="64" t="s">
        <v>62</v>
      </c>
      <c r="B2" s="64" t="s">
        <v>40</v>
      </c>
      <c r="C2" s="64" t="s">
        <v>10</v>
      </c>
      <c r="D2" s="64" t="s">
        <v>45</v>
      </c>
    </row>
    <row r="3" spans="1:4" x14ac:dyDescent="0.3">
      <c r="A3" s="65" t="s">
        <v>63</v>
      </c>
      <c r="B3" s="65">
        <v>138.1</v>
      </c>
      <c r="C3" s="65">
        <v>146.19999999999999</v>
      </c>
      <c r="D3" s="65">
        <v>140.4</v>
      </c>
    </row>
    <row r="4" spans="1:4" x14ac:dyDescent="0.3">
      <c r="A4" s="66" t="s">
        <v>64</v>
      </c>
      <c r="B4" s="66">
        <v>140.9</v>
      </c>
      <c r="C4" s="66">
        <v>146.9</v>
      </c>
      <c r="D4" s="66">
        <v>142</v>
      </c>
    </row>
    <row r="5" spans="1:4" x14ac:dyDescent="0.3">
      <c r="A5" s="65" t="s">
        <v>65</v>
      </c>
      <c r="B5" s="65">
        <v>142.69999999999999</v>
      </c>
      <c r="C5" s="65">
        <v>147.4</v>
      </c>
      <c r="D5" s="65">
        <v>142.9</v>
      </c>
    </row>
    <row r="6" spans="1:4" x14ac:dyDescent="0.3">
      <c r="A6" s="66" t="s">
        <v>66</v>
      </c>
      <c r="B6" s="66">
        <v>144.69999999999999</v>
      </c>
      <c r="C6" s="66">
        <v>147.9</v>
      </c>
      <c r="D6" s="66">
        <v>144.19999999999999</v>
      </c>
    </row>
    <row r="7" spans="1:4" x14ac:dyDescent="0.3">
      <c r="A7" s="65" t="s">
        <v>67</v>
      </c>
      <c r="B7" s="65">
        <v>145.9</v>
      </c>
      <c r="C7" s="65">
        <v>148.5</v>
      </c>
      <c r="D7" s="65">
        <v>145</v>
      </c>
    </row>
    <row r="8" spans="1:4" x14ac:dyDescent="0.3">
      <c r="A8" s="66" t="s">
        <v>68</v>
      </c>
      <c r="B8" s="66">
        <v>147</v>
      </c>
      <c r="C8" s="66">
        <v>149</v>
      </c>
      <c r="D8" s="66">
        <v>145.80000000000001</v>
      </c>
    </row>
    <row r="9" spans="1:4" x14ac:dyDescent="0.3">
      <c r="A9" s="65" t="s">
        <v>69</v>
      </c>
      <c r="B9" s="65">
        <v>149.6</v>
      </c>
      <c r="C9" s="65">
        <v>149.4</v>
      </c>
      <c r="D9" s="65">
        <v>147.19999999999999</v>
      </c>
    </row>
    <row r="10" spans="1:4" x14ac:dyDescent="0.3">
      <c r="A10" s="66" t="s">
        <v>70</v>
      </c>
      <c r="B10" s="66">
        <v>151.9</v>
      </c>
      <c r="C10" s="66">
        <v>149.9</v>
      </c>
      <c r="D10" s="66">
        <v>148.6</v>
      </c>
    </row>
    <row r="11" spans="1:4" x14ac:dyDescent="0.3">
      <c r="A11" s="65" t="s">
        <v>71</v>
      </c>
      <c r="B11" s="65">
        <v>155</v>
      </c>
      <c r="C11" s="65">
        <v>150.4</v>
      </c>
      <c r="D11" s="65">
        <v>150.4</v>
      </c>
    </row>
    <row r="12" spans="1:4" x14ac:dyDescent="0.3">
      <c r="A12" s="66" t="s">
        <v>72</v>
      </c>
      <c r="B12" s="66">
        <v>153.5</v>
      </c>
      <c r="C12" s="66">
        <v>151.19999999999999</v>
      </c>
      <c r="D12" s="66">
        <v>150.19999999999999</v>
      </c>
    </row>
    <row r="13" spans="1:4" x14ac:dyDescent="0.3">
      <c r="A13" s="65" t="s">
        <v>73</v>
      </c>
      <c r="B13" s="65">
        <v>150.5</v>
      </c>
      <c r="C13" s="65">
        <v>151.69999999999999</v>
      </c>
      <c r="D13" s="65">
        <v>149.1</v>
      </c>
    </row>
    <row r="14" spans="1:4" x14ac:dyDescent="0.3">
      <c r="A14" s="67" t="s">
        <v>170</v>
      </c>
      <c r="B14" s="68">
        <f>((B13-B3)/B3)*100</f>
        <v>8.9790007241129661</v>
      </c>
      <c r="C14" s="68">
        <f t="shared" ref="C14:D14" si="0">((C13-C3)/C3)*100</f>
        <v>3.7619699042407659</v>
      </c>
      <c r="D14" s="68">
        <f t="shared" si="0"/>
        <v>6.1965811965811888</v>
      </c>
    </row>
    <row r="15" spans="1:4" x14ac:dyDescent="0.3">
      <c r="B15" s="19"/>
      <c r="C15" s="19"/>
      <c r="D15" s="19"/>
    </row>
    <row r="16" spans="1:4" ht="21" customHeight="1" x14ac:dyDescent="0.35">
      <c r="A16" s="37" t="s">
        <v>172</v>
      </c>
      <c r="B16" s="35"/>
      <c r="C16" s="35"/>
      <c r="D16" s="35"/>
    </row>
    <row r="17" spans="1:5" ht="65.400000000000006" customHeight="1" x14ac:dyDescent="0.3">
      <c r="A17" s="109" t="s">
        <v>171</v>
      </c>
      <c r="B17" s="110"/>
      <c r="C17" s="110"/>
      <c r="D17" s="110"/>
    </row>
    <row r="19" spans="1:5" ht="18" x14ac:dyDescent="0.35">
      <c r="A19" s="23" t="s">
        <v>173</v>
      </c>
    </row>
    <row r="20" spans="1:5" x14ac:dyDescent="0.3">
      <c r="A20" s="64" t="s">
        <v>62</v>
      </c>
      <c r="B20" s="64" t="s">
        <v>40</v>
      </c>
      <c r="C20" s="64" t="s">
        <v>10</v>
      </c>
      <c r="D20" s="64" t="s">
        <v>45</v>
      </c>
    </row>
    <row r="21" spans="1:5" x14ac:dyDescent="0.3">
      <c r="A21" s="69" t="s">
        <v>74</v>
      </c>
      <c r="B21" s="69">
        <v>148.9</v>
      </c>
      <c r="C21" s="69">
        <v>152.30000000000001</v>
      </c>
      <c r="D21" s="69">
        <v>148.6</v>
      </c>
      <c r="E21" s="24" t="s">
        <v>135</v>
      </c>
    </row>
    <row r="22" spans="1:5" x14ac:dyDescent="0.3">
      <c r="A22" s="66" t="s">
        <v>75</v>
      </c>
      <c r="B22" s="66">
        <v>151.4</v>
      </c>
      <c r="C22" s="66">
        <v>150.69999999999999</v>
      </c>
      <c r="D22" s="66">
        <v>153.30000000000001</v>
      </c>
    </row>
    <row r="23" spans="1:5" x14ac:dyDescent="0.3">
      <c r="A23" s="65" t="s">
        <v>76</v>
      </c>
      <c r="B23" s="65">
        <v>156.5</v>
      </c>
      <c r="C23" s="65">
        <v>153.4</v>
      </c>
      <c r="D23" s="65">
        <v>153.30000000000001</v>
      </c>
    </row>
    <row r="24" spans="1:5" x14ac:dyDescent="0.3">
      <c r="A24" s="66" t="s">
        <v>77</v>
      </c>
      <c r="B24" s="66">
        <v>154</v>
      </c>
      <c r="C24" s="66">
        <v>154.4</v>
      </c>
      <c r="D24" s="66">
        <v>151.80000000000001</v>
      </c>
    </row>
    <row r="25" spans="1:5" x14ac:dyDescent="0.3">
      <c r="A25" s="65" t="s">
        <v>78</v>
      </c>
      <c r="B25" s="65">
        <v>154</v>
      </c>
      <c r="C25" s="65">
        <v>154.4</v>
      </c>
      <c r="D25" s="65">
        <v>151.80000000000001</v>
      </c>
    </row>
    <row r="26" spans="1:5" x14ac:dyDescent="0.3">
      <c r="A26" s="66" t="s">
        <v>79</v>
      </c>
      <c r="B26" s="66">
        <v>157</v>
      </c>
      <c r="C26" s="66">
        <v>155</v>
      </c>
      <c r="D26" s="66">
        <v>153.9</v>
      </c>
    </row>
    <row r="27" spans="1:5" x14ac:dyDescent="0.3">
      <c r="A27" s="65" t="s">
        <v>80</v>
      </c>
      <c r="B27" s="65">
        <v>158</v>
      </c>
      <c r="C27" s="65">
        <v>155.6</v>
      </c>
      <c r="D27" s="65">
        <v>154.69999999999999</v>
      </c>
    </row>
    <row r="28" spans="1:5" x14ac:dyDescent="0.3">
      <c r="A28" s="66" t="s">
        <v>81</v>
      </c>
      <c r="B28" s="66">
        <v>161.4</v>
      </c>
      <c r="C28" s="66">
        <v>156.30000000000001</v>
      </c>
      <c r="D28" s="66">
        <v>156.4</v>
      </c>
    </row>
    <row r="29" spans="1:5" x14ac:dyDescent="0.3">
      <c r="A29" s="65" t="s">
        <v>82</v>
      </c>
      <c r="B29" s="65">
        <v>164.7</v>
      </c>
      <c r="C29" s="65">
        <v>157.19999999999999</v>
      </c>
      <c r="D29" s="65">
        <v>158.4</v>
      </c>
    </row>
    <row r="30" spans="1:5" x14ac:dyDescent="0.3">
      <c r="A30" s="29" t="s">
        <v>83</v>
      </c>
      <c r="B30" s="29">
        <v>165.4</v>
      </c>
      <c r="C30" s="29">
        <v>158.30000000000001</v>
      </c>
      <c r="D30" s="29">
        <v>158.9</v>
      </c>
      <c r="E30" s="24" t="s">
        <v>134</v>
      </c>
    </row>
    <row r="31" spans="1:5" x14ac:dyDescent="0.3">
      <c r="A31" s="65" t="s">
        <v>84</v>
      </c>
      <c r="B31" s="65">
        <v>161</v>
      </c>
      <c r="C31" s="65">
        <v>159.30000000000001</v>
      </c>
      <c r="D31" s="65">
        <v>157.30000000000001</v>
      </c>
    </row>
    <row r="32" spans="1:5" x14ac:dyDescent="0.3">
      <c r="A32" s="4" t="s">
        <v>85</v>
      </c>
      <c r="B32" s="4">
        <v>156.9</v>
      </c>
      <c r="C32" s="4">
        <v>161.30000000000001</v>
      </c>
      <c r="D32" s="4">
        <v>156.6</v>
      </c>
    </row>
    <row r="33" spans="1:5" x14ac:dyDescent="0.3">
      <c r="A33" s="4" t="s">
        <v>86</v>
      </c>
      <c r="B33" s="4">
        <v>156.69999999999999</v>
      </c>
      <c r="C33" s="4">
        <v>161.69999999999999</v>
      </c>
      <c r="D33" s="4">
        <v>156.80000000000001</v>
      </c>
    </row>
    <row r="34" spans="1:5" x14ac:dyDescent="0.3">
      <c r="A34" s="67" t="s">
        <v>170</v>
      </c>
      <c r="B34" s="68">
        <f>((B33-B21)/B21)*100</f>
        <v>5.2384150436534469</v>
      </c>
      <c r="C34" s="68">
        <f t="shared" ref="C34:D34" si="1">((C33-C21)/C21)*100</f>
        <v>6.1720288903479821</v>
      </c>
      <c r="D34" s="68">
        <f t="shared" si="1"/>
        <v>5.5181695827725559</v>
      </c>
    </row>
    <row r="36" spans="1:5" ht="18" x14ac:dyDescent="0.35">
      <c r="A36" s="101" t="s">
        <v>172</v>
      </c>
      <c r="B36" s="101"/>
      <c r="C36" s="101"/>
      <c r="D36" s="101"/>
      <c r="E36" s="101"/>
    </row>
    <row r="37" spans="1:5" ht="104.4" customHeight="1" x14ac:dyDescent="0.3">
      <c r="A37" s="111" t="s">
        <v>174</v>
      </c>
      <c r="B37" s="111"/>
      <c r="C37" s="111"/>
      <c r="D37" s="111"/>
      <c r="E37" s="111"/>
    </row>
    <row r="39" spans="1:5" ht="18" x14ac:dyDescent="0.35">
      <c r="A39" s="23" t="s">
        <v>117</v>
      </c>
    </row>
    <row r="40" spans="1:5" x14ac:dyDescent="0.3">
      <c r="A40" s="70" t="s">
        <v>62</v>
      </c>
      <c r="B40" s="70" t="s">
        <v>40</v>
      </c>
      <c r="C40" s="70" t="s">
        <v>10</v>
      </c>
      <c r="D40" s="70" t="s">
        <v>45</v>
      </c>
    </row>
    <row r="41" spans="1:5" x14ac:dyDescent="0.3">
      <c r="A41" s="71" t="s">
        <v>63</v>
      </c>
      <c r="B41" s="71">
        <v>138.1</v>
      </c>
      <c r="C41" s="71">
        <v>146.19999999999999</v>
      </c>
      <c r="D41" s="71">
        <v>140.4</v>
      </c>
    </row>
    <row r="42" spans="1:5" x14ac:dyDescent="0.3">
      <c r="A42" s="72" t="s">
        <v>64</v>
      </c>
      <c r="B42" s="72">
        <v>140.9</v>
      </c>
      <c r="C42" s="72">
        <v>146.9</v>
      </c>
      <c r="D42" s="72">
        <v>142</v>
      </c>
    </row>
    <row r="43" spans="1:5" x14ac:dyDescent="0.3">
      <c r="A43" s="71" t="s">
        <v>65</v>
      </c>
      <c r="B43" s="71">
        <v>142.69999999999999</v>
      </c>
      <c r="C43" s="71">
        <v>147.4</v>
      </c>
      <c r="D43" s="71">
        <v>142.9</v>
      </c>
    </row>
    <row r="44" spans="1:5" x14ac:dyDescent="0.3">
      <c r="A44" s="72" t="s">
        <v>66</v>
      </c>
      <c r="B44" s="72">
        <v>144.69999999999999</v>
      </c>
      <c r="C44" s="72">
        <v>147.9</v>
      </c>
      <c r="D44" s="72">
        <v>144.19999999999999</v>
      </c>
    </row>
    <row r="45" spans="1:5" x14ac:dyDescent="0.3">
      <c r="A45" s="71" t="s">
        <v>67</v>
      </c>
      <c r="B45" s="71">
        <v>145.9</v>
      </c>
      <c r="C45" s="71">
        <v>148.5</v>
      </c>
      <c r="D45" s="71">
        <v>145</v>
      </c>
    </row>
    <row r="46" spans="1:5" x14ac:dyDescent="0.3">
      <c r="A46" s="72" t="s">
        <v>68</v>
      </c>
      <c r="B46" s="72">
        <v>147</v>
      </c>
      <c r="C46" s="72">
        <v>149</v>
      </c>
      <c r="D46" s="72">
        <v>145.80000000000001</v>
      </c>
    </row>
    <row r="47" spans="1:5" x14ac:dyDescent="0.3">
      <c r="A47" s="71" t="s">
        <v>69</v>
      </c>
      <c r="B47" s="71">
        <v>149.6</v>
      </c>
      <c r="C47" s="71">
        <v>149.4</v>
      </c>
      <c r="D47" s="71">
        <v>147.19999999999999</v>
      </c>
    </row>
    <row r="48" spans="1:5" x14ac:dyDescent="0.3">
      <c r="A48" s="72" t="s">
        <v>70</v>
      </c>
      <c r="B48" s="72">
        <v>151.9</v>
      </c>
      <c r="C48" s="72">
        <v>149.9</v>
      </c>
      <c r="D48" s="72">
        <v>148.6</v>
      </c>
    </row>
    <row r="49" spans="1:4" x14ac:dyDescent="0.3">
      <c r="A49" s="71" t="s">
        <v>71</v>
      </c>
      <c r="B49" s="71">
        <v>155</v>
      </c>
      <c r="C49" s="71">
        <v>150.4</v>
      </c>
      <c r="D49" s="71">
        <v>150.4</v>
      </c>
    </row>
    <row r="50" spans="1:4" x14ac:dyDescent="0.3">
      <c r="A50" s="72" t="s">
        <v>72</v>
      </c>
      <c r="B50" s="72">
        <v>153.5</v>
      </c>
      <c r="C50" s="72">
        <v>151.19999999999999</v>
      </c>
      <c r="D50" s="72">
        <v>150.19999999999999</v>
      </c>
    </row>
    <row r="51" spans="1:4" x14ac:dyDescent="0.3">
      <c r="A51" s="71" t="s">
        <v>73</v>
      </c>
      <c r="B51" s="71">
        <v>150.5</v>
      </c>
      <c r="C51" s="71">
        <v>151.69999999999999</v>
      </c>
      <c r="D51" s="71">
        <v>149.1</v>
      </c>
    </row>
    <row r="52" spans="1:4" x14ac:dyDescent="0.3">
      <c r="A52" s="106"/>
      <c r="B52" s="107"/>
      <c r="C52" s="107"/>
      <c r="D52" s="108"/>
    </row>
    <row r="53" spans="1:4" x14ac:dyDescent="0.3">
      <c r="A53" s="73" t="s">
        <v>74</v>
      </c>
      <c r="B53" s="73">
        <v>148.9</v>
      </c>
      <c r="C53" s="73">
        <v>152.30000000000001</v>
      </c>
      <c r="D53" s="73">
        <v>148.6</v>
      </c>
    </row>
    <row r="54" spans="1:4" x14ac:dyDescent="0.3">
      <c r="A54" s="74" t="s">
        <v>75</v>
      </c>
      <c r="B54" s="74">
        <v>151.4</v>
      </c>
      <c r="C54" s="74">
        <v>150.69999999999999</v>
      </c>
      <c r="D54" s="74">
        <v>153.30000000000001</v>
      </c>
    </row>
    <row r="55" spans="1:4" x14ac:dyDescent="0.3">
      <c r="A55" s="73" t="s">
        <v>76</v>
      </c>
      <c r="B55" s="73">
        <v>156.5</v>
      </c>
      <c r="C55" s="73">
        <v>153.4</v>
      </c>
      <c r="D55" s="73">
        <v>153.30000000000001</v>
      </c>
    </row>
    <row r="56" spans="1:4" x14ac:dyDescent="0.3">
      <c r="A56" s="74" t="s">
        <v>77</v>
      </c>
      <c r="B56" s="74">
        <v>154</v>
      </c>
      <c r="C56" s="74">
        <v>154.4</v>
      </c>
      <c r="D56" s="74">
        <v>151.80000000000001</v>
      </c>
    </row>
    <row r="57" spans="1:4" x14ac:dyDescent="0.3">
      <c r="A57" s="73" t="s">
        <v>78</v>
      </c>
      <c r="B57" s="73">
        <v>154</v>
      </c>
      <c r="C57" s="73">
        <v>154.4</v>
      </c>
      <c r="D57" s="73">
        <v>151.80000000000001</v>
      </c>
    </row>
    <row r="58" spans="1:4" x14ac:dyDescent="0.3">
      <c r="A58" s="74" t="s">
        <v>79</v>
      </c>
      <c r="B58" s="74">
        <v>157</v>
      </c>
      <c r="C58" s="74">
        <v>155</v>
      </c>
      <c r="D58" s="74">
        <v>153.9</v>
      </c>
    </row>
    <row r="59" spans="1:4" x14ac:dyDescent="0.3">
      <c r="A59" s="73" t="s">
        <v>80</v>
      </c>
      <c r="B59" s="73">
        <v>158</v>
      </c>
      <c r="C59" s="73">
        <v>155.6</v>
      </c>
      <c r="D59" s="73">
        <v>154.69999999999999</v>
      </c>
    </row>
    <row r="60" spans="1:4" x14ac:dyDescent="0.3">
      <c r="A60" s="74" t="s">
        <v>81</v>
      </c>
      <c r="B60" s="74">
        <v>161.4</v>
      </c>
      <c r="C60" s="74">
        <v>156.30000000000001</v>
      </c>
      <c r="D60" s="74">
        <v>156.4</v>
      </c>
    </row>
    <row r="61" spans="1:4" x14ac:dyDescent="0.3">
      <c r="A61" s="73" t="s">
        <v>82</v>
      </c>
      <c r="B61" s="73">
        <v>164.7</v>
      </c>
      <c r="C61" s="73">
        <v>157.19999999999999</v>
      </c>
      <c r="D61" s="73">
        <v>158.4</v>
      </c>
    </row>
    <row r="62" spans="1:4" x14ac:dyDescent="0.3">
      <c r="A62" s="74" t="s">
        <v>83</v>
      </c>
      <c r="B62" s="74">
        <v>165.4</v>
      </c>
      <c r="C62" s="74">
        <v>158.30000000000001</v>
      </c>
      <c r="D62" s="74">
        <v>158.9</v>
      </c>
    </row>
    <row r="63" spans="1:4" x14ac:dyDescent="0.3">
      <c r="A63" s="73" t="s">
        <v>84</v>
      </c>
      <c r="B63" s="73">
        <v>161</v>
      </c>
      <c r="C63" s="73">
        <v>159.30000000000001</v>
      </c>
      <c r="D63" s="73">
        <v>157.30000000000001</v>
      </c>
    </row>
    <row r="64" spans="1:4" x14ac:dyDescent="0.3">
      <c r="A64" s="74" t="s">
        <v>85</v>
      </c>
      <c r="B64" s="74">
        <v>156.9</v>
      </c>
      <c r="C64" s="74">
        <v>161.30000000000001</v>
      </c>
      <c r="D64" s="74">
        <v>156.6</v>
      </c>
    </row>
    <row r="65" spans="1:4" x14ac:dyDescent="0.3">
      <c r="A65" s="74" t="s">
        <v>86</v>
      </c>
      <c r="B65" s="74">
        <v>156.69999999999999</v>
      </c>
      <c r="C65" s="74">
        <v>161.69999999999999</v>
      </c>
      <c r="D65" s="74">
        <v>156.80000000000001</v>
      </c>
    </row>
    <row r="67" spans="1:4" ht="18" x14ac:dyDescent="0.35">
      <c r="A67" s="23" t="s">
        <v>175</v>
      </c>
    </row>
    <row r="68" spans="1:4" ht="31.8" customHeight="1" x14ac:dyDescent="0.3">
      <c r="A68" s="60" t="s">
        <v>118</v>
      </c>
      <c r="B68" s="60" t="s">
        <v>119</v>
      </c>
      <c r="C68" s="60" t="s">
        <v>120</v>
      </c>
      <c r="D68" s="60" t="s">
        <v>176</v>
      </c>
    </row>
    <row r="69" spans="1:4" ht="72" x14ac:dyDescent="0.3">
      <c r="A69" s="75" t="s">
        <v>1</v>
      </c>
      <c r="B69" s="76">
        <v>0.09</v>
      </c>
      <c r="C69" s="76">
        <v>5.1999999999999998E-2</v>
      </c>
      <c r="D69" s="77" t="s">
        <v>177</v>
      </c>
    </row>
    <row r="70" spans="1:4" ht="57.6" x14ac:dyDescent="0.3">
      <c r="A70" s="75" t="s">
        <v>10</v>
      </c>
      <c r="B70" s="76">
        <v>3.7999999999999999E-2</v>
      </c>
      <c r="C70" s="76">
        <v>6.2E-2</v>
      </c>
      <c r="D70" s="77" t="s">
        <v>178</v>
      </c>
    </row>
    <row r="71" spans="1:4" ht="43.2" x14ac:dyDescent="0.3">
      <c r="A71" s="75" t="s">
        <v>121</v>
      </c>
      <c r="B71" s="76">
        <v>6.2E-2</v>
      </c>
      <c r="C71" s="76">
        <v>5.5E-2</v>
      </c>
      <c r="D71" s="77" t="s">
        <v>179</v>
      </c>
    </row>
    <row r="72" spans="1:4" ht="15.6" x14ac:dyDescent="0.3">
      <c r="A72" s="78"/>
      <c r="B72" s="79"/>
      <c r="C72" s="79"/>
      <c r="D72" s="80"/>
    </row>
  </sheetData>
  <mergeCells count="4">
    <mergeCell ref="A52:D52"/>
    <mergeCell ref="A17:D17"/>
    <mergeCell ref="A37:E37"/>
    <mergeCell ref="A36:E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3A66-B653-4028-9F5D-EC771A28D9D6}">
  <dimension ref="A1:U43"/>
  <sheetViews>
    <sheetView showGridLines="0" tabSelected="1" topLeftCell="A25" zoomScaleNormal="100" workbookViewId="0">
      <selection activeCell="F46" sqref="F46"/>
    </sheetView>
  </sheetViews>
  <sheetFormatPr defaultRowHeight="14.4" x14ac:dyDescent="0.3"/>
  <cols>
    <col min="1" max="1" width="30.21875" style="10" customWidth="1"/>
    <col min="2" max="2" width="30.33203125" style="10" bestFit="1" customWidth="1"/>
    <col min="3" max="3" width="16.6640625" style="10" bestFit="1" customWidth="1"/>
    <col min="4" max="4" width="16.109375" style="10" customWidth="1"/>
    <col min="5" max="5" width="36.44140625" style="10" bestFit="1" customWidth="1"/>
    <col min="6" max="6" width="23.33203125" style="10" bestFit="1" customWidth="1"/>
    <col min="7" max="16384" width="8.88671875" style="10"/>
  </cols>
  <sheetData>
    <row r="1" spans="1:7" ht="18" x14ac:dyDescent="0.35">
      <c r="A1" s="23" t="s">
        <v>180</v>
      </c>
    </row>
    <row r="2" spans="1:7" x14ac:dyDescent="0.3">
      <c r="A2" s="50" t="s">
        <v>62</v>
      </c>
      <c r="B2" s="50" t="s">
        <v>40</v>
      </c>
      <c r="C2" s="50" t="s">
        <v>8</v>
      </c>
      <c r="D2" s="50" t="s">
        <v>10</v>
      </c>
      <c r="E2" s="50" t="s">
        <v>43</v>
      </c>
      <c r="F2" s="50" t="s">
        <v>123</v>
      </c>
    </row>
    <row r="3" spans="1:7" x14ac:dyDescent="0.3">
      <c r="A3" s="4" t="s">
        <v>84</v>
      </c>
      <c r="B3" s="4">
        <v>161</v>
      </c>
      <c r="C3" s="4">
        <v>147.9</v>
      </c>
      <c r="D3" s="4">
        <v>159.30000000000001</v>
      </c>
      <c r="E3" s="4">
        <v>141.9</v>
      </c>
      <c r="F3" s="5">
        <v>172.7</v>
      </c>
    </row>
    <row r="4" spans="1:7" x14ac:dyDescent="0.3">
      <c r="A4" s="4" t="s">
        <v>85</v>
      </c>
      <c r="B4" s="4">
        <v>156.9</v>
      </c>
      <c r="C4" s="4">
        <v>152.4</v>
      </c>
      <c r="D4" s="4">
        <v>161.30000000000001</v>
      </c>
      <c r="E4" s="4">
        <v>145.1</v>
      </c>
      <c r="F4" s="5">
        <v>53.6</v>
      </c>
      <c r="G4" s="19"/>
    </row>
    <row r="5" spans="1:7" x14ac:dyDescent="0.3">
      <c r="A5" s="4" t="s">
        <v>86</v>
      </c>
      <c r="B5" s="4">
        <v>156.69999999999999</v>
      </c>
      <c r="C5" s="4">
        <v>155.5</v>
      </c>
      <c r="D5" s="4">
        <v>161.69999999999999</v>
      </c>
      <c r="E5" s="4">
        <v>146.19999999999999</v>
      </c>
      <c r="F5" s="5">
        <v>139.6</v>
      </c>
      <c r="G5" s="19"/>
    </row>
    <row r="6" spans="1:7" x14ac:dyDescent="0.3">
      <c r="A6" s="4" t="s">
        <v>87</v>
      </c>
      <c r="B6" s="4">
        <v>158</v>
      </c>
      <c r="C6" s="4">
        <v>155.6</v>
      </c>
      <c r="D6" s="4">
        <v>162.30000000000001</v>
      </c>
      <c r="E6" s="4">
        <v>146.6</v>
      </c>
      <c r="F6" s="5">
        <v>119.3</v>
      </c>
      <c r="G6" s="19"/>
    </row>
    <row r="7" spans="1:7" x14ac:dyDescent="0.3">
      <c r="A7" s="4" t="s">
        <v>88</v>
      </c>
      <c r="B7" s="4">
        <v>160.69999999999999</v>
      </c>
      <c r="C7" s="4">
        <v>159.4</v>
      </c>
      <c r="D7" s="4">
        <v>165.8</v>
      </c>
      <c r="E7" s="4">
        <v>148.9</v>
      </c>
      <c r="F7" s="5">
        <v>49.3</v>
      </c>
      <c r="G7" s="19"/>
    </row>
    <row r="8" spans="1:7" x14ac:dyDescent="0.3">
      <c r="A8" s="4" t="s">
        <v>89</v>
      </c>
      <c r="B8" s="4">
        <v>162.6</v>
      </c>
      <c r="C8" s="4">
        <v>159.80000000000001</v>
      </c>
      <c r="D8" s="4">
        <v>166.3</v>
      </c>
      <c r="E8" s="4">
        <v>150.69999999999999</v>
      </c>
      <c r="F8" s="5">
        <v>161.1</v>
      </c>
      <c r="G8" s="19"/>
    </row>
    <row r="9" spans="1:7" x14ac:dyDescent="0.3">
      <c r="A9" s="4" t="s">
        <v>90</v>
      </c>
      <c r="B9" s="4">
        <v>164</v>
      </c>
      <c r="C9" s="4">
        <v>160.69999999999999</v>
      </c>
      <c r="D9" s="4">
        <v>167</v>
      </c>
      <c r="E9" s="4">
        <v>153.1</v>
      </c>
      <c r="F9" s="5">
        <v>95.5</v>
      </c>
      <c r="G9" s="19"/>
    </row>
    <row r="10" spans="1:7" x14ac:dyDescent="0.3">
      <c r="A10" s="4" t="s">
        <v>91</v>
      </c>
      <c r="B10" s="4">
        <v>164</v>
      </c>
      <c r="C10" s="4">
        <v>162.6</v>
      </c>
      <c r="D10" s="4">
        <v>168.4</v>
      </c>
      <c r="E10" s="4">
        <v>154</v>
      </c>
      <c r="F10" s="5">
        <v>109.8</v>
      </c>
      <c r="G10" s="19"/>
    </row>
    <row r="11" spans="1:7" x14ac:dyDescent="0.3">
      <c r="A11" s="4" t="s">
        <v>92</v>
      </c>
      <c r="B11" s="4">
        <v>164</v>
      </c>
      <c r="C11" s="4">
        <v>162.6</v>
      </c>
      <c r="D11" s="4">
        <v>168.4</v>
      </c>
      <c r="E11" s="4">
        <v>154</v>
      </c>
      <c r="F11" s="5">
        <v>91.7</v>
      </c>
      <c r="G11" s="19"/>
    </row>
    <row r="12" spans="1:7" x14ac:dyDescent="0.3">
      <c r="A12" s="4" t="s">
        <v>93</v>
      </c>
      <c r="B12" s="4">
        <v>167.7</v>
      </c>
      <c r="C12" s="4">
        <v>164.2</v>
      </c>
      <c r="D12" s="4">
        <v>169.1</v>
      </c>
      <c r="E12" s="4">
        <v>155.69999999999999</v>
      </c>
      <c r="F12" s="5">
        <v>106.2</v>
      </c>
      <c r="G12" s="19"/>
    </row>
    <row r="13" spans="1:7" x14ac:dyDescent="0.3">
      <c r="A13" s="4" t="s">
        <v>94</v>
      </c>
      <c r="B13" s="4">
        <v>169.7</v>
      </c>
      <c r="C13" s="4">
        <v>163.9</v>
      </c>
      <c r="D13" s="4">
        <v>169.9</v>
      </c>
      <c r="E13" s="4">
        <v>154.80000000000001</v>
      </c>
      <c r="F13" s="5">
        <v>64.8</v>
      </c>
      <c r="G13" s="19"/>
    </row>
    <row r="14" spans="1:7" x14ac:dyDescent="0.3">
      <c r="A14" s="4" t="s">
        <v>95</v>
      </c>
      <c r="B14" s="4">
        <v>168.2</v>
      </c>
      <c r="C14" s="4">
        <v>164.1</v>
      </c>
      <c r="D14" s="4">
        <v>170.6</v>
      </c>
      <c r="E14" s="4">
        <v>155.69999999999999</v>
      </c>
      <c r="F14" s="5">
        <v>175.4</v>
      </c>
      <c r="G14" s="19"/>
    </row>
    <row r="15" spans="1:7" x14ac:dyDescent="0.3">
      <c r="A15" s="4" t="s">
        <v>96</v>
      </c>
      <c r="B15" s="4">
        <v>166.4</v>
      </c>
      <c r="C15" s="4">
        <v>164.2</v>
      </c>
      <c r="D15" s="4">
        <v>171.4</v>
      </c>
      <c r="E15" s="4">
        <v>156.5</v>
      </c>
      <c r="F15" s="5">
        <v>73.3</v>
      </c>
      <c r="G15" s="19"/>
    </row>
    <row r="16" spans="1:7" x14ac:dyDescent="0.3">
      <c r="A16" s="4" t="s">
        <v>97</v>
      </c>
      <c r="B16" s="4">
        <v>166.2</v>
      </c>
      <c r="C16" s="4">
        <v>165.7</v>
      </c>
      <c r="D16" s="4">
        <v>172.2</v>
      </c>
      <c r="E16" s="4">
        <v>156.9</v>
      </c>
      <c r="F16" s="5">
        <v>69.900000000000006</v>
      </c>
      <c r="G16" s="19"/>
    </row>
    <row r="17" spans="1:21" x14ac:dyDescent="0.3">
      <c r="A17" s="4" t="s">
        <v>98</v>
      </c>
      <c r="B17" s="4">
        <v>168.4</v>
      </c>
      <c r="C17" s="4">
        <v>167.2</v>
      </c>
      <c r="D17" s="4">
        <v>173</v>
      </c>
      <c r="E17" s="4">
        <v>157.9</v>
      </c>
      <c r="F17" s="5">
        <v>79.7</v>
      </c>
      <c r="G17" s="19"/>
    </row>
    <row r="18" spans="1:21" x14ac:dyDescent="0.3">
      <c r="A18" s="43" t="s">
        <v>99</v>
      </c>
      <c r="B18" s="43">
        <v>170.8</v>
      </c>
      <c r="C18" s="43">
        <v>172.2</v>
      </c>
      <c r="D18" s="43">
        <v>174</v>
      </c>
      <c r="E18" s="43">
        <v>162.6</v>
      </c>
      <c r="F18" s="81">
        <v>227</v>
      </c>
      <c r="G18" s="19"/>
    </row>
    <row r="19" spans="1:21" x14ac:dyDescent="0.3">
      <c r="A19" s="4" t="s">
        <v>100</v>
      </c>
      <c r="B19" s="4">
        <v>173.3</v>
      </c>
      <c r="C19" s="4">
        <v>174.6</v>
      </c>
      <c r="D19" s="4">
        <v>174.8</v>
      </c>
      <c r="E19" s="4">
        <v>163</v>
      </c>
      <c r="F19" s="5">
        <v>107.8</v>
      </c>
      <c r="G19" s="19"/>
    </row>
    <row r="20" spans="1:21" x14ac:dyDescent="0.3">
      <c r="A20" s="4" t="s">
        <v>101</v>
      </c>
      <c r="B20" s="4">
        <v>174.9</v>
      </c>
      <c r="C20" s="4">
        <v>176</v>
      </c>
      <c r="D20" s="4">
        <v>175.4</v>
      </c>
      <c r="E20" s="4">
        <v>161.1</v>
      </c>
      <c r="F20" s="5">
        <v>48.6</v>
      </c>
      <c r="G20" s="19"/>
    </row>
    <row r="21" spans="1:21" x14ac:dyDescent="0.3">
      <c r="A21" s="4" t="s">
        <v>102</v>
      </c>
      <c r="B21" s="4">
        <v>175</v>
      </c>
      <c r="C21" s="4">
        <v>179.6</v>
      </c>
      <c r="D21" s="4">
        <v>176.1</v>
      </c>
      <c r="E21" s="4">
        <v>161.6</v>
      </c>
      <c r="F21" s="5">
        <v>189.6</v>
      </c>
      <c r="G21" s="19"/>
    </row>
    <row r="22" spans="1:21" x14ac:dyDescent="0.3">
      <c r="A22" s="4" t="s">
        <v>103</v>
      </c>
      <c r="B22" s="4">
        <v>176.3</v>
      </c>
      <c r="C22" s="4">
        <v>178.8</v>
      </c>
      <c r="D22" s="4">
        <v>176.8</v>
      </c>
      <c r="E22" s="4">
        <v>161.9</v>
      </c>
      <c r="F22" s="5">
        <v>79.5</v>
      </c>
      <c r="G22" s="19"/>
    </row>
    <row r="23" spans="1:21" x14ac:dyDescent="0.3">
      <c r="A23" s="4" t="s">
        <v>104</v>
      </c>
      <c r="B23" s="4">
        <v>177.8</v>
      </c>
      <c r="C23" s="4">
        <v>179.5</v>
      </c>
      <c r="D23" s="4">
        <v>177.8</v>
      </c>
      <c r="E23" s="4">
        <v>162.30000000000001</v>
      </c>
      <c r="F23" s="5">
        <v>131.69999999999999</v>
      </c>
      <c r="G23" s="19"/>
    </row>
    <row r="24" spans="1:21" x14ac:dyDescent="0.3">
      <c r="A24" s="4" t="s">
        <v>105</v>
      </c>
      <c r="B24" s="4">
        <v>179.6</v>
      </c>
      <c r="C24" s="4">
        <v>180.5</v>
      </c>
      <c r="D24" s="4">
        <v>178.7</v>
      </c>
      <c r="E24" s="4">
        <v>162.9</v>
      </c>
      <c r="F24" s="5">
        <v>57.2</v>
      </c>
      <c r="G24" s="19"/>
    </row>
    <row r="25" spans="1:21" x14ac:dyDescent="0.3">
      <c r="A25" s="4" t="s">
        <v>106</v>
      </c>
      <c r="B25" s="4">
        <v>178.3</v>
      </c>
      <c r="C25" s="4">
        <v>181.3</v>
      </c>
      <c r="D25" s="4">
        <v>179.8</v>
      </c>
      <c r="E25" s="4">
        <v>163</v>
      </c>
      <c r="F25" s="5">
        <v>198.6</v>
      </c>
      <c r="G25" s="19"/>
    </row>
    <row r="26" spans="1:21" x14ac:dyDescent="0.3">
      <c r="A26" s="4" t="s">
        <v>107</v>
      </c>
      <c r="B26" s="4">
        <v>175.9</v>
      </c>
      <c r="C26" s="4">
        <v>182</v>
      </c>
      <c r="D26" s="4">
        <v>181.1</v>
      </c>
      <c r="E26" s="4">
        <v>163.4</v>
      </c>
      <c r="F26" s="5">
        <v>63.4</v>
      </c>
      <c r="G26" s="19"/>
    </row>
    <row r="27" spans="1:21" ht="18" x14ac:dyDescent="0.35">
      <c r="A27" s="4" t="s">
        <v>108</v>
      </c>
      <c r="B27" s="4">
        <v>176.7</v>
      </c>
      <c r="C27" s="4">
        <v>182</v>
      </c>
      <c r="D27" s="4">
        <v>182.3</v>
      </c>
      <c r="E27" s="4">
        <v>163.6</v>
      </c>
      <c r="F27" s="5">
        <v>167.3</v>
      </c>
      <c r="G27" s="19"/>
      <c r="H27" s="112" t="s">
        <v>181</v>
      </c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</row>
    <row r="28" spans="1:21" x14ac:dyDescent="0.3">
      <c r="A28" s="43" t="s">
        <v>109</v>
      </c>
      <c r="B28" s="43">
        <v>177</v>
      </c>
      <c r="C28" s="43">
        <v>182.1</v>
      </c>
      <c r="D28" s="43">
        <v>184.4</v>
      </c>
      <c r="E28" s="43">
        <v>164.2</v>
      </c>
      <c r="F28" s="81">
        <v>41</v>
      </c>
      <c r="G28" s="19"/>
    </row>
    <row r="29" spans="1:21" x14ac:dyDescent="0.3">
      <c r="A29" s="4" t="s">
        <v>110</v>
      </c>
      <c r="B29" s="4">
        <v>177</v>
      </c>
      <c r="C29" s="4">
        <v>181.9</v>
      </c>
      <c r="D29" s="4">
        <v>184.4</v>
      </c>
      <c r="E29" s="4">
        <v>164.2</v>
      </c>
      <c r="F29" s="5">
        <v>125.9</v>
      </c>
      <c r="G29" s="19"/>
    </row>
    <row r="30" spans="1:21" x14ac:dyDescent="0.3">
      <c r="A30" s="4" t="s">
        <v>111</v>
      </c>
      <c r="B30" s="4">
        <v>177.9</v>
      </c>
      <c r="C30" s="4">
        <v>181.7</v>
      </c>
      <c r="D30" s="4">
        <v>185</v>
      </c>
      <c r="E30" s="4">
        <v>164.5</v>
      </c>
      <c r="F30" s="5">
        <v>104.1</v>
      </c>
      <c r="G30" s="19"/>
    </row>
    <row r="31" spans="1:21" x14ac:dyDescent="0.3">
      <c r="A31" s="4" t="s">
        <v>112</v>
      </c>
      <c r="B31" s="4">
        <v>179.1</v>
      </c>
      <c r="C31" s="4">
        <v>182.8</v>
      </c>
      <c r="D31" s="4">
        <v>185.7</v>
      </c>
      <c r="E31" s="4">
        <v>164.8</v>
      </c>
      <c r="F31" s="5">
        <v>210.2</v>
      </c>
      <c r="G31" s="19"/>
    </row>
    <row r="32" spans="1:21" x14ac:dyDescent="0.3">
      <c r="A32" s="58" t="s">
        <v>35</v>
      </c>
      <c r="B32" s="59">
        <f>AVERAGE(B3:B31)</f>
        <v>169.79655172413797</v>
      </c>
      <c r="C32" s="59">
        <f>AVERAGE(C3:C31)</f>
        <v>169.68275862068964</v>
      </c>
      <c r="D32" s="59">
        <f>AVERAGE(D3:D31)</f>
        <v>173.20689655172413</v>
      </c>
      <c r="E32" s="59">
        <f>AVERAGE(E3:E31)</f>
        <v>157.27931034482759</v>
      </c>
      <c r="F32" s="59">
        <f>AVERAGE(F3:F31)</f>
        <v>114.26896551724137</v>
      </c>
      <c r="G32" s="19"/>
    </row>
    <row r="34" spans="1:5" ht="18" x14ac:dyDescent="0.35">
      <c r="A34" s="82" t="s">
        <v>182</v>
      </c>
    </row>
    <row r="35" spans="1:5" x14ac:dyDescent="0.3">
      <c r="A35" s="50" t="s">
        <v>122</v>
      </c>
      <c r="B35" s="50" t="s">
        <v>183</v>
      </c>
    </row>
    <row r="36" spans="1:5" x14ac:dyDescent="0.3">
      <c r="A36" s="83" t="s">
        <v>40</v>
      </c>
      <c r="B36" s="44">
        <f>CORREL(B3:B31,F3:F31)</f>
        <v>0.11847198888913363</v>
      </c>
    </row>
    <row r="37" spans="1:5" x14ac:dyDescent="0.3">
      <c r="A37" s="83" t="s">
        <v>8</v>
      </c>
      <c r="B37" s="44">
        <f>CORREL(C3:C31,F3:F31)</f>
        <v>9.7914399776555985E-2</v>
      </c>
    </row>
    <row r="38" spans="1:5" x14ac:dyDescent="0.3">
      <c r="A38" s="83" t="s">
        <v>10</v>
      </c>
      <c r="B38" s="44">
        <f>CORREL(D3:D31,F3:F31)</f>
        <v>8.2830292775200487E-2</v>
      </c>
    </row>
    <row r="39" spans="1:5" x14ac:dyDescent="0.3">
      <c r="A39" s="83" t="s">
        <v>43</v>
      </c>
      <c r="B39" s="44">
        <f>CORREL(E3:E31,F3:F31)</f>
        <v>9.3219425288850979E-2</v>
      </c>
    </row>
    <row r="41" spans="1:5" ht="18" x14ac:dyDescent="0.35">
      <c r="A41" s="101" t="s">
        <v>172</v>
      </c>
      <c r="B41" s="101"/>
      <c r="C41" s="101"/>
      <c r="D41" s="101"/>
      <c r="E41" s="101"/>
    </row>
    <row r="42" spans="1:5" x14ac:dyDescent="0.3">
      <c r="A42" s="114" t="s">
        <v>184</v>
      </c>
      <c r="B42" s="114"/>
      <c r="C42" s="114"/>
      <c r="D42" s="114"/>
      <c r="E42" s="114"/>
    </row>
    <row r="43" spans="1:5" x14ac:dyDescent="0.3">
      <c r="A43" s="35" t="s">
        <v>185</v>
      </c>
      <c r="B43" s="35"/>
      <c r="C43" s="35"/>
      <c r="D43" s="35"/>
      <c r="E43" s="35"/>
    </row>
  </sheetData>
  <mergeCells count="3">
    <mergeCell ref="H27:U27"/>
    <mergeCell ref="A41:E41"/>
    <mergeCell ref="A42:E42"/>
  </mergeCells>
  <conditionalFormatting sqref="A3:F31">
    <cfRule type="top10" dxfId="1" priority="1" bottom="1" rank="1"/>
    <cfRule type="top10" dxfId="0" priority="2" rank="1"/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BDBB-E579-4CB7-BB40-F75DFD8B351A}">
  <dimension ref="A1:L29"/>
  <sheetViews>
    <sheetView showGridLines="0" workbookViewId="0">
      <selection activeCell="P10" sqref="P10"/>
    </sheetView>
  </sheetViews>
  <sheetFormatPr defaultRowHeight="14.4" x14ac:dyDescent="0.3"/>
  <cols>
    <col min="1" max="16384" width="8.88671875" style="10"/>
  </cols>
  <sheetData>
    <row r="1" spans="1:12" ht="18" x14ac:dyDescent="0.3">
      <c r="A1" s="84" t="s">
        <v>207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x14ac:dyDescent="0.3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2" x14ac:dyDescent="0.3">
      <c r="A3" s="86" t="s">
        <v>186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2" x14ac:dyDescent="0.3">
      <c r="A4" s="87" t="s">
        <v>187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</row>
    <row r="5" spans="1:12" x14ac:dyDescent="0.3">
      <c r="A5" s="87" t="s">
        <v>188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</row>
    <row r="6" spans="1:12" x14ac:dyDescent="0.3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</row>
    <row r="7" spans="1:12" x14ac:dyDescent="0.3">
      <c r="A7" s="86" t="s">
        <v>189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</row>
    <row r="8" spans="1:12" x14ac:dyDescent="0.3">
      <c r="A8" s="87" t="s">
        <v>190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</row>
    <row r="9" spans="1:12" x14ac:dyDescent="0.3">
      <c r="A9" s="87" t="s">
        <v>191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</row>
    <row r="10" spans="1:12" x14ac:dyDescent="0.3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</row>
    <row r="11" spans="1:12" x14ac:dyDescent="0.3">
      <c r="A11" s="86" t="s">
        <v>192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</row>
    <row r="12" spans="1:12" x14ac:dyDescent="0.3">
      <c r="A12" s="87" t="s">
        <v>193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</row>
    <row r="13" spans="1:12" x14ac:dyDescent="0.3">
      <c r="A13" s="87" t="s">
        <v>194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</row>
    <row r="14" spans="1:12" x14ac:dyDescent="0.3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</row>
    <row r="15" spans="1:12" x14ac:dyDescent="0.3">
      <c r="A15" s="86" t="s">
        <v>195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</row>
    <row r="16" spans="1:12" x14ac:dyDescent="0.3">
      <c r="A16" s="87" t="s">
        <v>196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</row>
    <row r="17" spans="1:12" x14ac:dyDescent="0.3">
      <c r="A17" s="87" t="s">
        <v>197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</row>
    <row r="18" spans="1:12" x14ac:dyDescent="0.3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</row>
    <row r="19" spans="1:12" x14ac:dyDescent="0.3">
      <c r="A19" s="86" t="s">
        <v>198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</row>
    <row r="20" spans="1:12" x14ac:dyDescent="0.3">
      <c r="A20" s="87" t="s">
        <v>199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</row>
    <row r="21" spans="1:12" x14ac:dyDescent="0.3">
      <c r="A21" s="87" t="s">
        <v>200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</row>
    <row r="22" spans="1:12" x14ac:dyDescent="0.3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</row>
    <row r="23" spans="1:12" x14ac:dyDescent="0.3">
      <c r="A23" s="86" t="s">
        <v>201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</row>
    <row r="24" spans="1:12" x14ac:dyDescent="0.3">
      <c r="A24" s="87" t="s">
        <v>202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</row>
    <row r="25" spans="1:12" x14ac:dyDescent="0.3">
      <c r="A25" s="87" t="s">
        <v>203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</row>
    <row r="26" spans="1:12" x14ac:dyDescent="0.3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</row>
    <row r="27" spans="1:12" x14ac:dyDescent="0.3">
      <c r="A27" s="86" t="s">
        <v>204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</row>
    <row r="28" spans="1:12" x14ac:dyDescent="0.3">
      <c r="A28" s="87" t="s">
        <v>205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</row>
    <row r="29" spans="1:12" x14ac:dyDescent="0.3">
      <c r="A29" s="87" t="s">
        <v>206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257C3-B798-443A-B2B7-383106ACF9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PROBLEM STATEMENT 1</vt:lpstr>
      <vt:lpstr>PROBLEM STATEMENT 2</vt:lpstr>
      <vt:lpstr>PROBLEM STATEMENT 3</vt:lpstr>
      <vt:lpstr>PROBLEM STATEMENT 4</vt:lpstr>
      <vt:lpstr>PROBLEM STATEMENT 5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Jeager</dc:creator>
  <cp:lastModifiedBy>G Sneha Dutt</cp:lastModifiedBy>
  <dcterms:created xsi:type="dcterms:W3CDTF">2025-07-05T19:27:30Z</dcterms:created>
  <dcterms:modified xsi:type="dcterms:W3CDTF">2026-05-30T03:34:21Z</dcterms:modified>
</cp:coreProperties>
</file>